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08" windowWidth="14808" windowHeight="8016" tabRatio="600" firstSheet="0" activeTab="17" autoFilterDateGrouping="1"/>
  </bookViews>
  <sheets>
    <sheet name="GALA" sheetId="1" state="visible" r:id="rId1"/>
    <sheet name="LINK" sheetId="2" state="visible" r:id="rId2"/>
    <sheet name="BAKE" sheetId="3" state="visible" r:id="rId3"/>
    <sheet name="AVAX" sheetId="4" state="visible" r:id="rId4"/>
    <sheet name="SOL" sheetId="5" state="visible" r:id="rId5"/>
    <sheet name="HBAR" sheetId="6" state="visible" r:id="rId6"/>
    <sheet name="MANA" sheetId="7" state="visible" r:id="rId7"/>
    <sheet name="ATOM" sheetId="8" state="visible" r:id="rId8"/>
    <sheet name="BAT" sheetId="9" state="visible" r:id="rId9"/>
    <sheet name="MOVR" sheetId="10" state="visible" r:id="rId10"/>
    <sheet name="ICP" sheetId="11" state="visible" r:id="rId11"/>
    <sheet name="FIL" sheetId="12" state="visible" r:id="rId12"/>
    <sheet name="ADA" sheetId="13" state="visible" r:id="rId13"/>
    <sheet name="ARB" sheetId="14" state="visible" r:id="rId14"/>
    <sheet name="MATIC" sheetId="15" state="visible" r:id="rId15"/>
    <sheet name="CAKE" sheetId="16" state="visible" r:id="rId16"/>
    <sheet name="AXS" sheetId="17" state="visible" r:id="rId17"/>
    <sheet name="CTSI" sheetId="18" state="visible" r:id="rId18"/>
    <sheet name="AR" sheetId="19" state="visible" r:id="rId19"/>
    <sheet name="FLUX" sheetId="20" state="visible" r:id="rId20"/>
    <sheet name="DAO" sheetId="21" state="visible" r:id="rId21"/>
    <sheet name="CWIF" sheetId="22" state="visible" r:id="rId22"/>
    <sheet name="Targets" sheetId="23" state="visible" r:id="rId23"/>
    <sheet name="Volatility" sheetId="24" state="visible" r:id="rId24"/>
    <sheet name="Deposit" sheetId="25" state="visible" r:id="rId25"/>
    <sheet name="BTC" sheetId="26" state="visible" r:id="rId26"/>
  </sheets>
  <definedNames/>
  <calcPr calcId="144525" fullCalcOnLoad="1"/>
</workbook>
</file>

<file path=xl/styles.xml><?xml version="1.0" encoding="utf-8"?>
<styleSheet xmlns="http://schemas.openxmlformats.org/spreadsheetml/2006/main">
  <numFmts count="2">
    <numFmt numFmtId="164" formatCode="[$-F400]h:mm:ss\ AM/PM"/>
    <numFmt numFmtId="165" formatCode="[$-F800]dddd\,\ mmmm\ dd\,\ yyyy"/>
  </numFmts>
  <fonts count="10"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Calibri"/>
      <family val="2"/>
      <color rgb="FF9C0006"/>
      <sz val="11"/>
      <scheme val="minor"/>
    </font>
    <font>
      <name val="Calibri"/>
      <family val="2"/>
      <sz val="11"/>
      <scheme val="minor"/>
    </font>
    <font>
      <name val="Arial"/>
      <family val="2"/>
      <color theme="1"/>
      <sz val="11"/>
    </font>
    <font>
      <name val="Calibri"/>
      <family val="2"/>
      <color rgb="FF1E2329"/>
      <sz val="11"/>
      <scheme val="minor"/>
    </font>
    <font>
      <name val="Arial"/>
      <family val="2"/>
      <color rgb="FF707A8A"/>
      <sz val="7"/>
    </font>
    <font>
      <name val="Arial"/>
      <family val="2"/>
      <color rgb="FF1E2329"/>
      <sz val="8"/>
    </font>
    <font>
      <name val="Roboto"/>
      <color rgb="FF212529"/>
      <sz val="9"/>
    </font>
    <font>
      <name val="Microsoft YaHei"/>
      <family val="2"/>
      <color rgb="FF141F21"/>
      <sz val="8"/>
    </font>
  </fonts>
  <fills count="8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FFC7CE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2">
    <xf numFmtId="0" fontId="0" fillId="0" borderId="0"/>
    <xf numFmtId="0" fontId="2" fillId="3" borderId="0"/>
  </cellStyleXfs>
  <cellXfs count="62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4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0" borderId="0" pivotButton="0" quotePrefix="0" xfId="0"/>
    <xf numFmtId="22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wrapText="1"/>
    </xf>
    <xf numFmtId="22" fontId="0" fillId="0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22" fontId="1" fillId="0" borderId="1" applyAlignment="1" pivotButton="0" quotePrefix="0" xfId="0">
      <alignment vertical="center" wrapText="1"/>
    </xf>
    <xf numFmtId="2" fontId="0" fillId="0" borderId="1" applyAlignment="1" pivotButton="0" quotePrefix="0" xfId="0">
      <alignment horizontal="center"/>
    </xf>
    <xf numFmtId="2" fontId="0" fillId="0" borderId="0" pivotButton="0" quotePrefix="0" xfId="0"/>
    <xf numFmtId="22" fontId="1" fillId="2" borderId="1" applyAlignment="1" pivotButton="0" quotePrefix="0" xfId="0">
      <alignment vertical="center" wrapText="1"/>
    </xf>
    <xf numFmtId="0" fontId="0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5" fontId="0" fillId="0" borderId="0" pivotButton="0" quotePrefix="0" xfId="0"/>
    <xf numFmtId="22" fontId="2" fillId="3" borderId="1" applyAlignment="1" pivotButton="0" quotePrefix="0" xfId="1">
      <alignment horizontal="center" vertical="center" wrapText="1"/>
    </xf>
    <xf numFmtId="0" fontId="2" fillId="3" borderId="1" applyAlignment="1" pivotButton="0" quotePrefix="0" xfId="1">
      <alignment horizontal="center"/>
    </xf>
    <xf numFmtId="0" fontId="0" fillId="0" borderId="0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22" fontId="0" fillId="6" borderId="1" applyAlignment="1" pivotButton="0" quotePrefix="0" xfId="0">
      <alignment horizontal="center" vertical="center" wrapText="1"/>
    </xf>
    <xf numFmtId="22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/>
    </xf>
    <xf numFmtId="0" fontId="0" fillId="7" borderId="0" pivotButton="0" quotePrefix="0" xfId="0"/>
    <xf numFmtId="22" fontId="0" fillId="7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/>
    </xf>
    <xf numFmtId="22" fontId="0" fillId="0" borderId="1" applyAlignment="1" pivotButton="0" quotePrefix="0" xfId="0">
      <alignment horizontal="center"/>
    </xf>
    <xf numFmtId="0" fontId="0" fillId="4" borderId="0" applyAlignment="1" pivotButton="0" quotePrefix="0" xfId="0">
      <alignment horizontal="center" vertical="center"/>
    </xf>
    <xf numFmtId="22" fontId="4" fillId="0" borderId="0" applyAlignment="1" pivotButton="0" quotePrefix="0" xfId="0">
      <alignment vertical="center" wrapText="1"/>
    </xf>
    <xf numFmtId="22" fontId="4" fillId="0" borderId="1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/>
    </xf>
    <xf numFmtId="22" fontId="0" fillId="0" borderId="1" applyAlignment="1" pivotButton="0" quotePrefix="0" xfId="0">
      <alignment horizontal="center" wrapText="1"/>
    </xf>
    <xf numFmtId="0" fontId="5" fillId="0" borderId="1" pivotButton="0" quotePrefix="0" xfId="0"/>
    <xf numFmtId="0" fontId="0" fillId="0" borderId="3" pivotButton="0" quotePrefix="0" xfId="0"/>
    <xf numFmtId="3" fontId="0" fillId="0" borderId="0" applyAlignment="1" pivotButton="0" quotePrefix="0" xfId="0">
      <alignment horizontal="center" vertical="center"/>
    </xf>
    <xf numFmtId="0" fontId="3" fillId="0" borderId="1" pivotButton="0" quotePrefix="0" xfId="0"/>
    <xf numFmtId="0" fontId="0" fillId="0" borderId="0" applyAlignment="1" pivotButton="0" quotePrefix="0" xfId="0">
      <alignment horizontal="center"/>
    </xf>
    <xf numFmtId="22" fontId="6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/>
    </xf>
    <xf numFmtId="0" fontId="7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22" fontId="0" fillId="0" borderId="4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wrapText="1"/>
    </xf>
    <xf numFmtId="0" fontId="8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5" applyAlignment="1" pivotButton="0" quotePrefix="0" xfId="0">
      <alignment horizontal="center" vertical="center"/>
    </xf>
  </cellXfs>
  <cellStyles count="2">
    <cellStyle name="Normal" xfId="0" builtinId="0"/>
    <cellStyle name="Bad" xfId="1" builtinId="27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N36"/>
  <sheetViews>
    <sheetView topLeftCell="B1" zoomScale="85" zoomScaleNormal="85" workbookViewId="0">
      <selection activeCell="N16" sqref="N16"/>
    </sheetView>
  </sheetViews>
  <sheetFormatPr baseColWidth="8" defaultRowHeight="14.4"/>
  <cols>
    <col width="22.33203125" bestFit="1" customWidth="1" style="6" min="2" max="2"/>
    <col width="16.88671875" customWidth="1" style="6" min="3" max="3"/>
    <col width="9.5546875" bestFit="1" customWidth="1" style="6" min="4" max="5"/>
    <col width="12" bestFit="1" customWidth="1" style="6" min="6" max="6"/>
    <col width="12.21875" bestFit="1" customWidth="1" style="6" min="8" max="8"/>
    <col width="9" bestFit="1" customWidth="1" style="6" min="12" max="12"/>
    <col width="12" bestFit="1" customWidth="1" style="6" min="14" max="14"/>
  </cols>
  <sheetData>
    <row r="2">
      <c r="B2" s="58" t="inlineStr">
        <is>
          <t>GALA</t>
        </is>
      </c>
    </row>
    <row r="3">
      <c r="B3" s="10" t="inlineStr">
        <is>
          <t>Date</t>
        </is>
      </c>
      <c r="C3" s="10" t="inlineStr">
        <is>
          <t>Time</t>
        </is>
      </c>
      <c r="D3" s="10" t="inlineStr">
        <is>
          <t>Ammount</t>
        </is>
      </c>
      <c r="E3" s="10" t="inlineStr">
        <is>
          <t>Cost(USD)</t>
        </is>
      </c>
      <c r="F3" s="10" t="inlineStr">
        <is>
          <t>Price(USD)</t>
        </is>
      </c>
      <c r="G3" s="10" t="inlineStr">
        <is>
          <t>Action</t>
        </is>
      </c>
      <c r="H3" s="11" t="inlineStr">
        <is>
          <t>Platform</t>
        </is>
      </c>
    </row>
    <row r="4">
      <c r="B4" s="3" t="n">
        <v>44798</v>
      </c>
      <c r="C4" s="4" t="n">
        <v>44798.48353009259</v>
      </c>
      <c r="D4" s="10" t="n">
        <v>88.925</v>
      </c>
      <c r="E4" s="10" t="n">
        <v>5</v>
      </c>
      <c r="F4" s="10">
        <f>E4/D4</f>
        <v/>
      </c>
      <c r="G4" s="10" t="inlineStr">
        <is>
          <t>BUY</t>
        </is>
      </c>
      <c r="H4" s="5" t="inlineStr">
        <is>
          <t>Binance(CEX)</t>
        </is>
      </c>
      <c r="I4">
        <f>IF($G4="BUY",D4,-D4)</f>
        <v/>
      </c>
      <c r="J4">
        <f>IF($G4="BUY",-E4,E4)</f>
        <v/>
      </c>
    </row>
    <row r="5">
      <c r="B5" s="3" t="n">
        <v>44823</v>
      </c>
      <c r="C5" s="4" t="n">
        <v>44823.06846064814</v>
      </c>
      <c r="D5" s="10" t="n">
        <v>117.88</v>
      </c>
      <c r="E5" s="10" t="n">
        <v>5</v>
      </c>
      <c r="F5" s="10">
        <f>E5/D5</f>
        <v/>
      </c>
      <c r="G5" s="10" t="inlineStr">
        <is>
          <t>BUY</t>
        </is>
      </c>
      <c r="H5" s="5" t="inlineStr">
        <is>
          <t>Binance(CEX)</t>
        </is>
      </c>
      <c r="I5">
        <f>IF($G5="BUY",D5,-D5)</f>
        <v/>
      </c>
      <c r="J5">
        <f>IF($G5="BUY",-E5,E5)</f>
        <v/>
      </c>
    </row>
    <row r="6">
      <c r="B6" s="3" t="n">
        <v>44855</v>
      </c>
      <c r="C6" s="33" t="n">
        <v>44855.81923611111</v>
      </c>
      <c r="D6" s="10" t="n">
        <v>151.45</v>
      </c>
      <c r="E6" s="10" t="n">
        <v>5</v>
      </c>
      <c r="F6" s="10">
        <f>E6/D6</f>
        <v/>
      </c>
      <c r="G6" s="10" t="inlineStr">
        <is>
          <t>BUY</t>
        </is>
      </c>
      <c r="H6" s="5" t="inlineStr">
        <is>
          <t>Binance(CEX)</t>
        </is>
      </c>
      <c r="I6">
        <f>IF($G6="BUY",D6,-D6)</f>
        <v/>
      </c>
      <c r="J6">
        <f>IF($G6="BUY",-E6,E6)</f>
        <v/>
      </c>
    </row>
    <row r="7">
      <c r="B7" s="3" t="n">
        <v>44864</v>
      </c>
      <c r="C7" s="33" t="n">
        <v>44864.59424768519</v>
      </c>
      <c r="D7" s="10" t="n">
        <v>112.63</v>
      </c>
      <c r="E7" s="10" t="n">
        <v>5</v>
      </c>
      <c r="F7" s="10">
        <f>E7/D7</f>
        <v/>
      </c>
      <c r="G7" s="10" t="inlineStr">
        <is>
          <t>SELL</t>
        </is>
      </c>
      <c r="H7" s="5" t="inlineStr">
        <is>
          <t>Binance(CEX)</t>
        </is>
      </c>
      <c r="I7">
        <f>IF($G7="BUY",D7,-D7)</f>
        <v/>
      </c>
      <c r="J7">
        <f>IF($G7="BUY",-E7,E7)</f>
        <v/>
      </c>
      <c r="L7" t="inlineStr">
        <is>
          <t>Ammount</t>
        </is>
      </c>
      <c r="M7" t="inlineStr">
        <is>
          <t>Invested</t>
        </is>
      </c>
      <c r="N7" t="inlineStr">
        <is>
          <t>avarage price</t>
        </is>
      </c>
    </row>
    <row r="8">
      <c r="B8" s="3" t="n">
        <v>44867</v>
      </c>
      <c r="C8" s="33" t="n">
        <v>44867.80643518519</v>
      </c>
      <c r="D8" s="10" t="n">
        <v>128.063</v>
      </c>
      <c r="E8" s="10" t="n">
        <v>5</v>
      </c>
      <c r="F8" s="10">
        <f>E8/D8</f>
        <v/>
      </c>
      <c r="G8" s="10" t="inlineStr">
        <is>
          <t>BUY</t>
        </is>
      </c>
      <c r="H8" s="5" t="inlineStr">
        <is>
          <t>Binance(CEX)</t>
        </is>
      </c>
      <c r="I8">
        <f>IF($G8="BUY",D8,-D8)</f>
        <v/>
      </c>
      <c r="J8">
        <f>IF($G8="BUY",-E8,E8)</f>
        <v/>
      </c>
      <c r="L8">
        <f>SUM(I4:I51)</f>
        <v/>
      </c>
      <c r="M8">
        <f>-SUM(J4:J51)</f>
        <v/>
      </c>
      <c r="N8">
        <f>M8/L8</f>
        <v/>
      </c>
    </row>
    <row r="9">
      <c r="B9" s="3" t="n">
        <v>44869</v>
      </c>
      <c r="C9" s="33" t="n">
        <v>44869.17539351852</v>
      </c>
      <c r="D9" s="10" t="n">
        <v>147.34</v>
      </c>
      <c r="E9" s="10" t="n">
        <v>5</v>
      </c>
      <c r="F9" s="10">
        <f>E9/D9</f>
        <v/>
      </c>
      <c r="G9" s="10" t="inlineStr">
        <is>
          <t>BUY</t>
        </is>
      </c>
      <c r="H9" s="5" t="inlineStr">
        <is>
          <t>Binance(CEX)</t>
        </is>
      </c>
      <c r="I9">
        <f>IF($G9="BUY",D9,-D9)</f>
        <v/>
      </c>
      <c r="J9">
        <f>IF($G9="BUY",-E9,E9)</f>
        <v/>
      </c>
    </row>
    <row r="10">
      <c r="B10" s="3" t="n">
        <v>44870</v>
      </c>
      <c r="C10" s="33" t="n">
        <v>44870.56086805555</v>
      </c>
      <c r="D10" s="10" t="n">
        <v>117.428</v>
      </c>
      <c r="E10" s="10" t="n">
        <v>5</v>
      </c>
      <c r="F10" s="10">
        <f>E10/D10</f>
        <v/>
      </c>
      <c r="G10" s="10" t="inlineStr">
        <is>
          <t>SELL</t>
        </is>
      </c>
      <c r="H10" s="5" t="inlineStr">
        <is>
          <t>Binance(CEX)</t>
        </is>
      </c>
      <c r="I10">
        <f>IF($G10="BUY",D10,-D10)</f>
        <v/>
      </c>
      <c r="J10">
        <f>IF($G10="BUY",-E10,E10)</f>
        <v/>
      </c>
    </row>
    <row r="11">
      <c r="B11" s="3" t="n">
        <v>44872</v>
      </c>
      <c r="C11" s="33" t="n">
        <v>44872.01324074074</v>
      </c>
      <c r="D11" s="10" t="n">
        <v>135.632</v>
      </c>
      <c r="E11" s="10" t="n">
        <v>5</v>
      </c>
      <c r="F11" s="10">
        <f>E11/D11</f>
        <v/>
      </c>
      <c r="G11" s="10" t="inlineStr">
        <is>
          <t>BUY</t>
        </is>
      </c>
      <c r="H11" s="5" t="inlineStr">
        <is>
          <t>Binance(CEX)</t>
        </is>
      </c>
      <c r="I11">
        <f>IF($G11="BUY",D11,-D11)</f>
        <v/>
      </c>
      <c r="J11">
        <f>IF($G11="BUY",-E11,E11)</f>
        <v/>
      </c>
    </row>
    <row r="12">
      <c r="C12" s="12" t="n">
        <v>44875.05555555555</v>
      </c>
      <c r="D12" s="10" t="n">
        <v>98.59999999999999</v>
      </c>
      <c r="E12" s="10" t="n">
        <v>2.5</v>
      </c>
      <c r="F12" s="10">
        <f>E12/D12</f>
        <v/>
      </c>
      <c r="G12" s="10" t="inlineStr">
        <is>
          <t>BUY</t>
        </is>
      </c>
      <c r="H12" s="5" t="inlineStr">
        <is>
          <t>Binance(CEX)</t>
        </is>
      </c>
      <c r="I12">
        <f>IF($G12="BUY",D12,-D12)</f>
        <v/>
      </c>
      <c r="J12">
        <f>IF($G12="BUY",-E12,E12)</f>
        <v/>
      </c>
    </row>
    <row r="13">
      <c r="C13" s="12" t="n">
        <v>44876.89861111111</v>
      </c>
      <c r="D13" s="10" t="n">
        <v>77.92</v>
      </c>
      <c r="E13" s="10" t="n">
        <v>2.5</v>
      </c>
      <c r="F13" s="10">
        <f>E13/D13</f>
        <v/>
      </c>
      <c r="G13" s="10" t="inlineStr">
        <is>
          <t>SELL</t>
        </is>
      </c>
      <c r="H13" s="5" t="inlineStr">
        <is>
          <t>Binance(CEX)</t>
        </is>
      </c>
      <c r="I13">
        <f>IF($G13="BUY",D13,-D13)</f>
        <v/>
      </c>
      <c r="J13">
        <f>IF($G13="BUY",-E13,E13)</f>
        <v/>
      </c>
    </row>
    <row r="14">
      <c r="C14" s="12" t="n">
        <v>44882.57569444444</v>
      </c>
      <c r="D14" s="10" t="n">
        <v>90.09</v>
      </c>
      <c r="E14" s="10" t="n">
        <v>2.5</v>
      </c>
      <c r="F14" s="10">
        <f>E14/D14</f>
        <v/>
      </c>
      <c r="G14" s="10" t="inlineStr">
        <is>
          <t>BUY</t>
        </is>
      </c>
      <c r="H14" s="5" t="inlineStr">
        <is>
          <t>Binance(CEX)</t>
        </is>
      </c>
      <c r="I14">
        <f>IF($G14="BUY",D14,-D14)</f>
        <v/>
      </c>
      <c r="J14">
        <f>IF($G14="BUY",-E14,E14)</f>
        <v/>
      </c>
    </row>
    <row r="15">
      <c r="C15" s="12" t="n">
        <v>44885.87916666667</v>
      </c>
      <c r="D15" s="10" t="n">
        <v>186.6</v>
      </c>
      <c r="E15" s="10" t="n">
        <v>5</v>
      </c>
      <c r="F15" s="10">
        <f>E15/D15</f>
        <v/>
      </c>
      <c r="G15" s="10" t="inlineStr">
        <is>
          <t>BUY</t>
        </is>
      </c>
      <c r="H15" s="5" t="inlineStr">
        <is>
          <t>Binance(CEX)</t>
        </is>
      </c>
      <c r="I15">
        <f>IF($G15="BUY",D15,-D15)</f>
        <v/>
      </c>
      <c r="J15">
        <f>IF($G15="BUY",-E15,E15)</f>
        <v/>
      </c>
    </row>
    <row r="16">
      <c r="C16" s="15" t="n">
        <v>44886.90625</v>
      </c>
      <c r="D16" s="16" t="n">
        <v>186.87</v>
      </c>
      <c r="E16" s="16" t="n">
        <v>4.5</v>
      </c>
      <c r="F16" s="16">
        <f>E16/D16</f>
        <v/>
      </c>
      <c r="G16" s="16" t="inlineStr">
        <is>
          <t>BUY</t>
        </is>
      </c>
      <c r="H16" s="5" t="inlineStr">
        <is>
          <t>Binance(CEX)</t>
        </is>
      </c>
      <c r="I16">
        <f>IF($G16="BUY",D16,-D16)</f>
        <v/>
      </c>
      <c r="J16">
        <f>IF($G16="BUY",-E16,E16)</f>
        <v/>
      </c>
    </row>
    <row r="17">
      <c r="C17" s="15" t="n">
        <v>44901.98888888889</v>
      </c>
      <c r="D17" s="16" t="n">
        <v>186.062</v>
      </c>
      <c r="E17" s="16" t="n">
        <v>5</v>
      </c>
      <c r="F17" s="16">
        <f>E17/D17</f>
        <v/>
      </c>
      <c r="G17" s="16" t="inlineStr">
        <is>
          <t>SELL</t>
        </is>
      </c>
      <c r="H17" s="5" t="inlineStr">
        <is>
          <t>Binance(CEX)</t>
        </is>
      </c>
      <c r="I17">
        <f>IF($G17="BUY",D17,-D17)</f>
        <v/>
      </c>
      <c r="J17">
        <f>IF($G17="BUY",-E17,E17)</f>
        <v/>
      </c>
    </row>
    <row r="18">
      <c r="C18" s="12" t="n">
        <v>44907.26458333333</v>
      </c>
      <c r="D18" s="10" t="n">
        <v>202.76</v>
      </c>
      <c r="E18" s="10" t="n">
        <v>5</v>
      </c>
      <c r="F18" s="10">
        <f>E18/D18</f>
        <v/>
      </c>
      <c r="G18" s="10" t="inlineStr">
        <is>
          <t>BUY</t>
        </is>
      </c>
      <c r="H18" s="5" t="inlineStr">
        <is>
          <t>Binance(CEX)</t>
        </is>
      </c>
      <c r="I18">
        <f>IF($G18="BUY",D18,-D18)</f>
        <v/>
      </c>
      <c r="J18">
        <f>IF($G18="BUY",-E18,E18)</f>
        <v/>
      </c>
    </row>
    <row r="19">
      <c r="B19" t="inlineStr">
        <is>
          <t> </t>
        </is>
      </c>
      <c r="C19" s="12" t="n">
        <v>44915.25416666667</v>
      </c>
      <c r="D19" s="10" t="n">
        <v>128.23</v>
      </c>
      <c r="E19" s="10" t="n">
        <v>2.5</v>
      </c>
      <c r="F19" s="10">
        <f>E19/D19</f>
        <v/>
      </c>
      <c r="G19" s="10" t="inlineStr">
        <is>
          <t>BUY</t>
        </is>
      </c>
      <c r="H19" s="5" t="inlineStr">
        <is>
          <t>Binance(CEX)</t>
        </is>
      </c>
      <c r="I19">
        <f>IF($G19="BUY",D19,-D19)</f>
        <v/>
      </c>
      <c r="J19">
        <f>IF($G19="BUY",-E19,E19)</f>
        <v/>
      </c>
    </row>
    <row r="20">
      <c r="C20" s="12" t="n">
        <v>44932.77916666667</v>
      </c>
      <c r="D20" s="10" t="n">
        <v>125</v>
      </c>
      <c r="E20" s="10" t="n">
        <v>2.5</v>
      </c>
      <c r="F20" s="10">
        <f>E20/D20</f>
        <v/>
      </c>
      <c r="G20" s="10" t="inlineStr">
        <is>
          <t>SELL</t>
        </is>
      </c>
      <c r="H20" s="5" t="inlineStr">
        <is>
          <t>Binance(CEX)</t>
        </is>
      </c>
      <c r="I20">
        <f>IF($G20="BUY",D20,-D20)</f>
        <v/>
      </c>
      <c r="J20">
        <f>IF($G20="BUY",-E20,E20)</f>
        <v/>
      </c>
    </row>
    <row r="21">
      <c r="C21" s="12" t="n">
        <v>44934.88263888889</v>
      </c>
      <c r="D21" s="10" t="n">
        <v>414</v>
      </c>
      <c r="E21" s="10" t="n">
        <v>12.5</v>
      </c>
      <c r="F21" s="10">
        <f>E21/D21</f>
        <v/>
      </c>
      <c r="G21" s="10" t="inlineStr">
        <is>
          <t>SELL</t>
        </is>
      </c>
      <c r="H21" s="5" t="inlineStr">
        <is>
          <t>Binance(CEX)</t>
        </is>
      </c>
      <c r="I21">
        <f>IF($G21="BUY",D21,-D21)</f>
        <v/>
      </c>
      <c r="J21">
        <f>IF($G21="BUY",-E21,E21)</f>
        <v/>
      </c>
    </row>
    <row r="22">
      <c r="C22" s="12" t="n">
        <v>44934.91875</v>
      </c>
      <c r="D22" s="10" t="n">
        <v>320</v>
      </c>
      <c r="E22" s="10" t="n">
        <v>10.08</v>
      </c>
      <c r="F22" s="10">
        <f>E22/D22</f>
        <v/>
      </c>
      <c r="G22" s="10" t="inlineStr">
        <is>
          <t>SELL</t>
        </is>
      </c>
      <c r="H22" s="5" t="inlineStr">
        <is>
          <t>Binance(CEX)</t>
        </is>
      </c>
      <c r="I22">
        <f>IF($G22="BUY",D22,-D22)</f>
        <v/>
      </c>
      <c r="J22">
        <f>IF($G22="BUY",-E22,E22)</f>
        <v/>
      </c>
    </row>
    <row r="23">
      <c r="C23" s="12" t="n">
        <v>44934.93680555555</v>
      </c>
      <c r="D23" s="10" t="n">
        <v>309.2688</v>
      </c>
      <c r="E23" s="10" t="n">
        <v>11.085</v>
      </c>
      <c r="F23" s="10">
        <f>E23/D23</f>
        <v/>
      </c>
      <c r="G23" s="10" t="inlineStr">
        <is>
          <t>SELL</t>
        </is>
      </c>
      <c r="H23" s="5" t="inlineStr">
        <is>
          <t>Binance(CEX)</t>
        </is>
      </c>
      <c r="I23">
        <f>IF($G23="BUY",D23,-D23)</f>
        <v/>
      </c>
      <c r="J23">
        <f>IF($G23="BUY",-E23,E23)</f>
        <v/>
      </c>
    </row>
    <row r="24">
      <c r="C24" s="12" t="n">
        <v>45018.3612037037</v>
      </c>
      <c r="D24" s="10" t="n">
        <v>110.029</v>
      </c>
      <c r="E24" s="10" t="n">
        <v>4.5337</v>
      </c>
      <c r="F24" s="10">
        <f>E24/D24</f>
        <v/>
      </c>
      <c r="G24" s="10" t="inlineStr">
        <is>
          <t>BUY</t>
        </is>
      </c>
      <c r="H24" s="5" t="inlineStr">
        <is>
          <t>Binance(CEX)</t>
        </is>
      </c>
      <c r="I24">
        <f>IF($G24="BUY",D24,-D24)</f>
        <v/>
      </c>
      <c r="J24">
        <f>IF($G24="BUY",-E24,E24)</f>
        <v/>
      </c>
    </row>
    <row r="25">
      <c r="C25" s="12" t="n">
        <v>45018.76324074074</v>
      </c>
      <c r="D25" s="10" t="n">
        <v>367.98</v>
      </c>
      <c r="E25" s="10" t="n">
        <v>14.737</v>
      </c>
      <c r="F25" s="10">
        <f>E25/D25</f>
        <v/>
      </c>
      <c r="G25" s="10" t="inlineStr">
        <is>
          <t>BUY</t>
        </is>
      </c>
      <c r="H25" s="5" t="inlineStr">
        <is>
          <t>Binance(CEX)</t>
        </is>
      </c>
      <c r="I25">
        <f>IF($G25="BUY",D25,-D25)</f>
        <v/>
      </c>
      <c r="J25">
        <f>IF($G25="BUY",-E25,E25)</f>
        <v/>
      </c>
    </row>
    <row r="26">
      <c r="C26" s="12" t="n">
        <v>45048.52986111111</v>
      </c>
      <c r="D26" s="10" t="n">
        <v>537.99</v>
      </c>
      <c r="E26" s="10" t="n">
        <v>20</v>
      </c>
      <c r="F26" s="10">
        <f>E26/D26</f>
        <v/>
      </c>
      <c r="G26" s="10" t="inlineStr">
        <is>
          <t>BUY</t>
        </is>
      </c>
      <c r="H26" s="5" t="inlineStr">
        <is>
          <t>Binance(CEX)</t>
        </is>
      </c>
      <c r="I26">
        <f>IF($G26="BUY",D26,-D26)</f>
        <v/>
      </c>
      <c r="J26">
        <f>IF($G26="BUY",-E26,E26)</f>
        <v/>
      </c>
    </row>
    <row r="27">
      <c r="C27" s="12" t="n">
        <v>45049.85555555556</v>
      </c>
      <c r="D27" s="10" t="n">
        <v>834.1645</v>
      </c>
      <c r="E27" s="10" t="n">
        <v>30</v>
      </c>
      <c r="F27" s="10">
        <f>E27/D27</f>
        <v/>
      </c>
      <c r="G27" s="10" t="inlineStr">
        <is>
          <t>BUY</t>
        </is>
      </c>
      <c r="H27" s="5" t="inlineStr">
        <is>
          <t>Binance(CEX)</t>
        </is>
      </c>
      <c r="I27">
        <f>IF($G27="BUY",D27,-D27)</f>
        <v/>
      </c>
      <c r="J27">
        <f>IF($G27="BUY",-E27,E27)</f>
        <v/>
      </c>
    </row>
    <row r="28">
      <c r="C28" s="12" t="n">
        <v>45051.93958333333</v>
      </c>
      <c r="D28" s="10" t="n">
        <v>322.376</v>
      </c>
      <c r="E28" s="10" t="n">
        <v>11.08</v>
      </c>
      <c r="F28" s="10">
        <f>E28/D28</f>
        <v/>
      </c>
      <c r="G28" s="10" t="inlineStr">
        <is>
          <t>BUY</t>
        </is>
      </c>
      <c r="H28" s="5" t="inlineStr">
        <is>
          <t>Binance(CEX)</t>
        </is>
      </c>
      <c r="I28">
        <f>IF($G28="BUY",D28,-D28)</f>
        <v/>
      </c>
      <c r="J28">
        <f>IF($G28="BUY",-E28,E28)</f>
        <v/>
      </c>
    </row>
    <row r="29">
      <c r="C29" s="12" t="n">
        <v>45055.025</v>
      </c>
      <c r="D29" s="10" t="n">
        <v>825.9619987999999</v>
      </c>
      <c r="E29" s="10" t="n">
        <v>23</v>
      </c>
      <c r="F29" s="10">
        <f>E29/D29</f>
        <v/>
      </c>
      <c r="G29" s="10" t="inlineStr">
        <is>
          <t>BUY</t>
        </is>
      </c>
      <c r="H29" s="5" t="inlineStr">
        <is>
          <t>Binance(CEX)</t>
        </is>
      </c>
      <c r="I29">
        <f>IF($G29="BUY",D29,-D29)</f>
        <v/>
      </c>
      <c r="J29">
        <f>IF($G29="BUY",-E29,E29)</f>
        <v/>
      </c>
    </row>
    <row r="30">
      <c r="C30" s="12" t="n">
        <v>45084.89722222222</v>
      </c>
      <c r="D30" s="10" t="n">
        <v>763.42989456</v>
      </c>
      <c r="E30" s="10" t="n">
        <v>20</v>
      </c>
      <c r="F30" s="10">
        <f>E30/D30</f>
        <v/>
      </c>
      <c r="G30" s="10" t="inlineStr">
        <is>
          <t>BUY</t>
        </is>
      </c>
      <c r="H30" s="5" t="inlineStr">
        <is>
          <t>Binance(CEX)</t>
        </is>
      </c>
      <c r="I30">
        <f>IF($G30="BUY",D30,-D30)</f>
        <v/>
      </c>
      <c r="J30">
        <f>IF($G30="BUY",-E30,E30)</f>
        <v/>
      </c>
    </row>
    <row r="31">
      <c r="C31" s="12" t="n">
        <v>45087.37222222222</v>
      </c>
      <c r="D31" s="10" t="n">
        <v>1210.02283227</v>
      </c>
      <c r="E31" s="10" t="n">
        <v>25</v>
      </c>
      <c r="F31" s="10">
        <f>E31/D31</f>
        <v/>
      </c>
      <c r="G31" s="10" t="inlineStr">
        <is>
          <t>BUY</t>
        </is>
      </c>
      <c r="H31" s="5" t="inlineStr">
        <is>
          <t>Binance(CEX)</t>
        </is>
      </c>
      <c r="I31">
        <f>IF($G31="BUY",D31,-D31)</f>
        <v/>
      </c>
      <c r="J31">
        <f>IF($G31="BUY",-E31,E31)</f>
        <v/>
      </c>
    </row>
    <row r="32">
      <c r="C32" s="12" t="n">
        <v>45156.53402777778</v>
      </c>
      <c r="D32" s="10" t="n">
        <v>3136.424</v>
      </c>
      <c r="E32" s="10" t="n">
        <v>60.85</v>
      </c>
      <c r="F32" s="10">
        <f>E32/D32</f>
        <v/>
      </c>
      <c r="G32" s="10" t="inlineStr">
        <is>
          <t>BUY</t>
        </is>
      </c>
      <c r="H32" s="5" t="inlineStr">
        <is>
          <t>Binance(CEX)</t>
        </is>
      </c>
      <c r="I32">
        <f>IF($G32="BUY",D32,-D32)</f>
        <v/>
      </c>
      <c r="J32">
        <f>IF($G32="BUY",-E32,E32)</f>
        <v/>
      </c>
    </row>
    <row r="33">
      <c r="C33" s="12" t="n">
        <v>45200.825</v>
      </c>
      <c r="D33" s="10" t="n">
        <v>1681.02790503</v>
      </c>
      <c r="E33" s="10" t="n">
        <v>25</v>
      </c>
      <c r="F33" s="10">
        <f>E33/D33</f>
        <v/>
      </c>
      <c r="G33" s="10" t="inlineStr">
        <is>
          <t>BUY</t>
        </is>
      </c>
      <c r="H33" s="5" t="inlineStr">
        <is>
          <t>Binance(CEX)</t>
        </is>
      </c>
      <c r="I33">
        <f>IF($G33="BUY",D33,-D33)</f>
        <v/>
      </c>
      <c r="J33">
        <f>IF($G33="BUY",-E33,E33)</f>
        <v/>
      </c>
    </row>
    <row r="34">
      <c r="C34" s="12" t="n">
        <v>44974.8825462963</v>
      </c>
      <c r="D34" s="11" t="n">
        <v>9789</v>
      </c>
      <c r="E34" s="11" t="n">
        <v>254.5888</v>
      </c>
      <c r="F34" s="11">
        <f>E34/D34</f>
        <v/>
      </c>
      <c r="G34" s="11" t="inlineStr">
        <is>
          <t>SELL</t>
        </is>
      </c>
      <c r="H34" s="5" t="inlineStr">
        <is>
          <t>Binance(CEX)</t>
        </is>
      </c>
      <c r="I34">
        <f>IF($G34="BUY",D34,-D34)</f>
        <v/>
      </c>
      <c r="J34">
        <f>IF($G34="BUY",-E34,E34)</f>
        <v/>
      </c>
    </row>
    <row r="36">
      <c r="C36" s="58" t="inlineStr">
        <is>
          <t>The founders suing eatch other, there is no price performance, I am out of this project</t>
        </is>
      </c>
    </row>
  </sheetData>
  <mergeCells count="2">
    <mergeCell ref="B2:G2"/>
    <mergeCell ref="C36:J36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3:M27"/>
  <sheetViews>
    <sheetView workbookViewId="0">
      <selection activeCell="M27" sqref="M27"/>
    </sheetView>
  </sheetViews>
  <sheetFormatPr baseColWidth="8" defaultRowHeight="14.4"/>
  <cols>
    <col width="15.6640625" bestFit="1" customWidth="1" style="6" min="2" max="2"/>
    <col width="15.5546875" bestFit="1" customWidth="1" style="6" min="3" max="3"/>
    <col width="10.33203125" customWidth="1" style="6" min="4" max="4"/>
    <col width="12" bestFit="1" customWidth="1" style="6" min="6" max="6"/>
    <col width="10.21875" bestFit="1" customWidth="1" style="6" min="7" max="7"/>
    <col width="12" bestFit="1" customWidth="1" style="6" min="13" max="13"/>
  </cols>
  <sheetData>
    <row r="3">
      <c r="B3" s="57" t="inlineStr">
        <is>
          <t>LINK</t>
        </is>
      </c>
      <c r="C3" s="60" t="n"/>
      <c r="D3" s="60" t="n"/>
      <c r="E3" s="60" t="n"/>
      <c r="F3" s="60" t="n"/>
    </row>
    <row r="4">
      <c r="B4" s="10" t="inlineStr">
        <is>
          <t>Date &amp; Time</t>
        </is>
      </c>
      <c r="C4" s="10" t="inlineStr">
        <is>
          <t>Ammount</t>
        </is>
      </c>
      <c r="D4" s="10" t="inlineStr">
        <is>
          <t>Cost(USD)</t>
        </is>
      </c>
      <c r="E4" s="10" t="inlineStr">
        <is>
          <t>Price(USD)</t>
        </is>
      </c>
      <c r="F4" s="10" t="inlineStr">
        <is>
          <t>Action</t>
        </is>
      </c>
      <c r="G4" s="11" t="inlineStr">
        <is>
          <t>Description</t>
        </is>
      </c>
    </row>
    <row r="5">
      <c r="B5" s="7" t="n">
        <v>44786.40416666667</v>
      </c>
      <c r="C5" s="10" t="n">
        <v>0.53</v>
      </c>
      <c r="D5" s="10" t="n">
        <v>5</v>
      </c>
      <c r="E5" s="10">
        <f>D5/C5</f>
        <v/>
      </c>
      <c r="F5" s="10" t="inlineStr">
        <is>
          <t>BUY</t>
        </is>
      </c>
      <c r="H5">
        <f>IF($F5="BUY",C5,-C5)</f>
        <v/>
      </c>
      <c r="I5">
        <f>IF($F5="BUY",-D5,D5)</f>
        <v/>
      </c>
    </row>
    <row r="6">
      <c r="B6" s="7" t="n">
        <v>44788.49305555555</v>
      </c>
      <c r="C6" s="10" t="n">
        <v>0.579</v>
      </c>
      <c r="D6" s="10" t="n">
        <v>5</v>
      </c>
      <c r="E6" s="10">
        <f>D6/C6</f>
        <v/>
      </c>
      <c r="F6" s="10" t="inlineStr">
        <is>
          <t>BUY</t>
        </is>
      </c>
      <c r="H6">
        <f>IF($F6="BUY",C6,-C6)</f>
        <v/>
      </c>
      <c r="I6">
        <f>IF($F6="BUY",-D6,D6)</f>
        <v/>
      </c>
    </row>
    <row r="7">
      <c r="B7" s="7" t="n">
        <v>44791.93611111111</v>
      </c>
      <c r="C7" s="10" t="n">
        <v>0.6203</v>
      </c>
      <c r="D7" s="10" t="n">
        <v>5</v>
      </c>
      <c r="E7" s="10">
        <f>D7/C7</f>
        <v/>
      </c>
      <c r="F7" s="10" t="inlineStr">
        <is>
          <t>BUY</t>
        </is>
      </c>
      <c r="H7">
        <f>IF($F7="BUY",C7,-C7)</f>
        <v/>
      </c>
      <c r="I7">
        <f>IF($F7="BUY",-D7,D7)</f>
        <v/>
      </c>
    </row>
    <row r="8">
      <c r="B8" s="7" t="n">
        <v>44792.40138888889</v>
      </c>
      <c r="C8" s="10" t="n">
        <v>1.44</v>
      </c>
      <c r="D8" s="10" t="n">
        <v>10</v>
      </c>
      <c r="E8" s="10">
        <f>D8/C8</f>
        <v/>
      </c>
      <c r="F8" s="10" t="inlineStr">
        <is>
          <t>BUY</t>
        </is>
      </c>
      <c r="H8">
        <f>IF($F8="BUY",C8,-C8)</f>
        <v/>
      </c>
      <c r="I8">
        <f>IF($F8="BUY",-D8,D8)</f>
        <v/>
      </c>
    </row>
    <row r="9">
      <c r="B9" s="7" t="n">
        <v>44802.64027777778</v>
      </c>
      <c r="C9" s="10" t="n">
        <v>0.781</v>
      </c>
      <c r="D9" s="10" t="n">
        <v>5</v>
      </c>
      <c r="E9" s="10">
        <f>D9/C9</f>
        <v/>
      </c>
      <c r="F9" s="10" t="inlineStr">
        <is>
          <t>BUY</t>
        </is>
      </c>
      <c r="H9">
        <f>IF($F9="BUY",C9,-C9)</f>
        <v/>
      </c>
      <c r="I9">
        <f>IF($F9="BUY",-D9,D9)</f>
        <v/>
      </c>
    </row>
    <row r="10">
      <c r="B10" s="7" t="n">
        <v>44864.98888888889</v>
      </c>
      <c r="C10" s="10" t="n">
        <v>0.637</v>
      </c>
      <c r="D10" s="10" t="n">
        <v>5</v>
      </c>
      <c r="E10" s="10">
        <f>D10/C10</f>
        <v/>
      </c>
      <c r="F10" s="10" t="inlineStr">
        <is>
          <t>SELL</t>
        </is>
      </c>
      <c r="H10">
        <f>IF($F10="BUY",C10,-C10)</f>
        <v/>
      </c>
      <c r="I10">
        <f>IF($F10="BUY",-D10,D10)</f>
        <v/>
      </c>
    </row>
    <row r="11">
      <c r="B11" s="7" t="n">
        <v>44872.96180555555</v>
      </c>
      <c r="C11" s="10" t="n">
        <v>1.114</v>
      </c>
      <c r="D11" s="10" t="n">
        <v>10</v>
      </c>
      <c r="E11" s="10">
        <f>D11/C11</f>
        <v/>
      </c>
      <c r="F11" s="10" t="inlineStr">
        <is>
          <t>SELL</t>
        </is>
      </c>
      <c r="H11">
        <f>IF($F11="BUY",C11,-C11)</f>
        <v/>
      </c>
      <c r="I11">
        <f>IF($F11="BUY",-D11,D11)</f>
        <v/>
      </c>
    </row>
    <row r="12">
      <c r="B12" s="7" t="n">
        <v>44873.77361111111</v>
      </c>
      <c r="C12" s="10" t="n">
        <v>0.536</v>
      </c>
      <c r="D12" s="10" t="n">
        <v>5</v>
      </c>
      <c r="E12" s="10">
        <f>D12/C12</f>
        <v/>
      </c>
      <c r="F12" s="10" t="inlineStr">
        <is>
          <t>SELL</t>
        </is>
      </c>
      <c r="H12">
        <f>IF($F12="BUY",C12,-C12)</f>
        <v/>
      </c>
      <c r="I12">
        <f>IF($F12="BUY",-D12,D12)</f>
        <v/>
      </c>
    </row>
    <row r="13">
      <c r="B13" s="7" t="n">
        <v>44873.85277777778</v>
      </c>
      <c r="C13" s="10" t="n">
        <v>1.2607</v>
      </c>
      <c r="D13" s="10" t="n">
        <v>10</v>
      </c>
      <c r="E13" s="10">
        <f>D13/C13</f>
        <v/>
      </c>
      <c r="F13" s="10" t="inlineStr">
        <is>
          <t>BUY</t>
        </is>
      </c>
      <c r="H13">
        <f>IF($F13="BUY",C13,-C13)</f>
        <v/>
      </c>
      <c r="I13">
        <f>IF($F13="BUY",-D13,D13)</f>
        <v/>
      </c>
    </row>
    <row r="14">
      <c r="B14" s="7" t="n">
        <v>44873.90138888889</v>
      </c>
      <c r="C14" s="10" t="n">
        <v>0.679</v>
      </c>
      <c r="D14" s="10" t="n">
        <v>5</v>
      </c>
      <c r="E14" s="10">
        <f>D14/C14</f>
        <v/>
      </c>
      <c r="F14" s="10" t="inlineStr">
        <is>
          <t>BUY</t>
        </is>
      </c>
      <c r="H14">
        <f>IF($F14="BUY",C14,-C14)</f>
        <v/>
      </c>
      <c r="I14">
        <f>IF($F14="BUY",-D14,D14)</f>
        <v/>
      </c>
    </row>
    <row r="15">
      <c r="B15" s="7" t="n">
        <v>44879.31180555555</v>
      </c>
      <c r="C15" s="10" t="n">
        <v>0.8669</v>
      </c>
      <c r="D15" s="10" t="n">
        <v>5</v>
      </c>
      <c r="E15" s="10">
        <f>D15/C15</f>
        <v/>
      </c>
      <c r="F15" s="10" t="inlineStr">
        <is>
          <t>BUY</t>
        </is>
      </c>
      <c r="H15">
        <f>IF($F15="BUY",C15,-C15)</f>
        <v/>
      </c>
      <c r="I15">
        <f>IF($F15="BUY",-D15,D15)</f>
        <v/>
      </c>
      <c r="K15" t="inlineStr">
        <is>
          <t>Ammount</t>
        </is>
      </c>
      <c r="L15" t="inlineStr">
        <is>
          <t>Invested</t>
        </is>
      </c>
      <c r="M15" t="inlineStr">
        <is>
          <t>avarage price</t>
        </is>
      </c>
    </row>
    <row r="16">
      <c r="B16" s="7" t="n">
        <v>44886.32638888889</v>
      </c>
      <c r="C16" s="10" t="n">
        <v>0.861</v>
      </c>
      <c r="D16" s="10" t="n">
        <v>5</v>
      </c>
      <c r="E16" s="10">
        <f>D16/C16</f>
        <v/>
      </c>
      <c r="F16" s="10" t="inlineStr">
        <is>
          <t>BUY</t>
        </is>
      </c>
      <c r="H16">
        <f>IF($F16="BUY",C16,-C16)</f>
        <v/>
      </c>
      <c r="I16">
        <f>IF($F16="BUY",-D16,D16)</f>
        <v/>
      </c>
      <c r="K16">
        <f>SUM($H1:$H32)</f>
        <v/>
      </c>
      <c r="L16">
        <f>-SUM($I1:$I32)</f>
        <v/>
      </c>
      <c r="M16">
        <f>L16/K16</f>
        <v/>
      </c>
    </row>
    <row r="17">
      <c r="B17" s="7" t="n">
        <v>44886.92708333334</v>
      </c>
      <c r="C17" s="10" t="n">
        <v>0.7897999999999999</v>
      </c>
      <c r="D17" s="10" t="n">
        <v>5</v>
      </c>
      <c r="E17" s="10">
        <f>D17/C17</f>
        <v/>
      </c>
      <c r="F17" s="10" t="inlineStr">
        <is>
          <t>BUY</t>
        </is>
      </c>
      <c r="H17">
        <f>IF($F17="BUY",C17,-C17)</f>
        <v/>
      </c>
      <c r="I17">
        <f>IF($F17="BUY",-D17,D17)</f>
        <v/>
      </c>
    </row>
    <row r="18">
      <c r="B18" s="7" t="n">
        <v>44888.88472222222</v>
      </c>
      <c r="C18" s="10" t="n">
        <v>1.5</v>
      </c>
      <c r="D18" s="10" t="n">
        <v>10</v>
      </c>
      <c r="E18" s="10">
        <f>D18/C18</f>
        <v/>
      </c>
      <c r="F18" s="10" t="inlineStr">
        <is>
          <t>SELL</t>
        </is>
      </c>
      <c r="H18">
        <f>IF($F18="BUY",C18,-C18)</f>
        <v/>
      </c>
      <c r="I18">
        <f>IF($F18="BUY",-D18,D18)</f>
        <v/>
      </c>
    </row>
    <row r="19">
      <c r="B19" s="7" t="n">
        <v>44895.06805555556</v>
      </c>
      <c r="C19" s="10" t="n">
        <v>0.6833</v>
      </c>
      <c r="D19" s="10" t="n">
        <v>5</v>
      </c>
      <c r="E19" s="10">
        <f>D19/C19</f>
        <v/>
      </c>
      <c r="F19" s="10" t="inlineStr">
        <is>
          <t>SELL</t>
        </is>
      </c>
      <c r="H19">
        <f>IF($F19="BUY",C19,-C19)</f>
        <v/>
      </c>
      <c r="I19">
        <f>IF($F19="BUY",-D19,D19)</f>
        <v/>
      </c>
    </row>
    <row r="20">
      <c r="B20" s="7" t="n">
        <v>44911.64375</v>
      </c>
      <c r="C20" s="10" t="n">
        <v>1.199</v>
      </c>
      <c r="D20" s="10" t="n">
        <v>7.5</v>
      </c>
      <c r="E20" s="10">
        <f>D20/C20</f>
        <v/>
      </c>
      <c r="F20" s="10" t="inlineStr">
        <is>
          <t>BUY</t>
        </is>
      </c>
      <c r="H20">
        <f>IF($F20="BUY",C20,-C20)</f>
        <v/>
      </c>
      <c r="I20">
        <f>IF($F20="BUY",-D20,D20)</f>
        <v/>
      </c>
    </row>
    <row r="21">
      <c r="B21" s="7" t="n">
        <v>44915.24791666667</v>
      </c>
      <c r="C21" s="10" t="n">
        <v>1.2475</v>
      </c>
      <c r="D21" s="10" t="n">
        <v>7.5</v>
      </c>
      <c r="E21" s="10">
        <f>D21/C21</f>
        <v/>
      </c>
      <c r="F21" s="10" t="inlineStr">
        <is>
          <t>BUY</t>
        </is>
      </c>
      <c r="H21">
        <f>IF($F21="BUY",C21,-C21)</f>
        <v/>
      </c>
      <c r="I21">
        <f>IF($F21="BUY",-D21,D21)</f>
        <v/>
      </c>
    </row>
    <row r="22">
      <c r="B22" s="7" t="n">
        <v>44923.13263888889</v>
      </c>
      <c r="C22" s="10" t="n">
        <v>1.74</v>
      </c>
      <c r="D22" s="10" t="n">
        <v>10.095</v>
      </c>
      <c r="E22" s="10">
        <f>D22/C22</f>
        <v/>
      </c>
      <c r="F22" s="10" t="inlineStr">
        <is>
          <t>BUY</t>
        </is>
      </c>
      <c r="H22">
        <f>IF($F22="BUY",C22,-C22)</f>
        <v/>
      </c>
      <c r="I22">
        <f>IF($F22="BUY",-D22,D22)</f>
        <v/>
      </c>
    </row>
    <row r="23">
      <c r="B23" s="7" t="n">
        <v>44975.84513888889</v>
      </c>
      <c r="C23" s="10" t="n">
        <v>4.06</v>
      </c>
      <c r="D23" s="10" t="n">
        <v>32.93</v>
      </c>
      <c r="E23" s="10">
        <f>D23/C23</f>
        <v/>
      </c>
      <c r="F23" s="10" t="inlineStr">
        <is>
          <t>SELL</t>
        </is>
      </c>
      <c r="H23">
        <f>IF($F23="BUY",C23,-C23)</f>
        <v/>
      </c>
      <c r="I23">
        <f>IF($F23="BUY",-D23,D23)</f>
        <v/>
      </c>
    </row>
    <row r="24">
      <c r="B24" s="7" t="n">
        <v>44994.93194444444</v>
      </c>
      <c r="C24" s="10" t="n">
        <v>5.28796202</v>
      </c>
      <c r="D24" s="10" t="n">
        <v>33</v>
      </c>
      <c r="E24" s="10">
        <f>D24/C24</f>
        <v/>
      </c>
      <c r="F24" s="10" t="inlineStr">
        <is>
          <t>BUY</t>
        </is>
      </c>
      <c r="H24">
        <f>IF($F24="BUY",C24,-C24)</f>
        <v/>
      </c>
      <c r="I24">
        <f>IF($F24="BUY",-D24,D24)</f>
        <v/>
      </c>
    </row>
    <row r="25">
      <c r="B25" s="7" t="n">
        <v>45046.54888888889</v>
      </c>
      <c r="C25" s="10" t="n">
        <v>4.14129</v>
      </c>
      <c r="D25" s="10" t="n">
        <v>30</v>
      </c>
      <c r="E25" s="10">
        <f>D25/C25</f>
        <v/>
      </c>
      <c r="F25" s="10" t="inlineStr">
        <is>
          <t>SELL</t>
        </is>
      </c>
      <c r="H25">
        <f>IF($F25="BUY",C25,-C25)</f>
        <v/>
      </c>
      <c r="I25">
        <f>IF($F25="BUY",-D25,D25)</f>
        <v/>
      </c>
    </row>
    <row r="26">
      <c r="B26" s="7" t="n">
        <v>45048.52829861111</v>
      </c>
      <c r="C26" s="10" t="n">
        <v>4.35317</v>
      </c>
      <c r="D26" s="10" t="n">
        <v>30</v>
      </c>
      <c r="E26" s="10">
        <f>D26/C26</f>
        <v/>
      </c>
      <c r="F26" s="10" t="inlineStr">
        <is>
          <t>BUY</t>
        </is>
      </c>
      <c r="H26">
        <f>IF($F26="BUY",C26,-C26)</f>
        <v/>
      </c>
      <c r="I26">
        <f>IF($F26="BUY",-D26,D26)</f>
        <v/>
      </c>
    </row>
    <row r="27">
      <c r="B27" s="7" t="n">
        <v>45127.52847222222</v>
      </c>
      <c r="C27" s="10" t="n">
        <v>9.56</v>
      </c>
      <c r="D27" s="10" t="n">
        <v>76.48956</v>
      </c>
      <c r="E27" s="10">
        <f>D27/C27</f>
        <v/>
      </c>
      <c r="F27" s="11" t="inlineStr">
        <is>
          <t>SELL</t>
        </is>
      </c>
      <c r="G27" t="inlineStr">
        <is>
          <t>I wanted to swing trade, but I didn't buy back the coins in lower proce</t>
        </is>
      </c>
      <c r="H27">
        <f>IF($F27="BUY",C27,-C27)</f>
        <v/>
      </c>
      <c r="I27">
        <f>IF($F27="BUY",-D27,D27)</f>
        <v/>
      </c>
    </row>
  </sheetData>
  <mergeCells count="1">
    <mergeCell ref="B3:F3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3:P22"/>
  <sheetViews>
    <sheetView workbookViewId="0">
      <selection activeCell="C27" sqref="C27"/>
    </sheetView>
  </sheetViews>
  <sheetFormatPr baseColWidth="8" defaultRowHeight="14.4"/>
  <cols>
    <col width="15.6640625" bestFit="1" customWidth="1" style="6" min="2" max="2"/>
    <col width="13.33203125" bestFit="1" customWidth="1" style="6" min="6" max="6"/>
    <col width="9.6640625" bestFit="1" customWidth="1" style="6" min="12" max="12"/>
    <col width="15.77734375" bestFit="1" customWidth="1" style="6" min="13" max="13"/>
    <col width="14.77734375" bestFit="1" customWidth="1" style="6" min="14" max="14"/>
    <col width="20.6640625" bestFit="1" customWidth="1" style="6" min="16" max="16"/>
  </cols>
  <sheetData>
    <row r="3">
      <c r="B3" s="57" t="inlineStr">
        <is>
          <t>BAKE</t>
        </is>
      </c>
      <c r="C3" s="60" t="n"/>
      <c r="D3" s="60" t="n"/>
      <c r="E3" s="60" t="n"/>
      <c r="F3" s="60" t="n"/>
    </row>
    <row r="4">
      <c r="B4" s="10" t="inlineStr">
        <is>
          <t>Date &amp; Time</t>
        </is>
      </c>
      <c r="C4" s="10" t="inlineStr">
        <is>
          <t>Ammount</t>
        </is>
      </c>
      <c r="D4" s="10" t="inlineStr">
        <is>
          <t>Cost(USD)</t>
        </is>
      </c>
      <c r="E4" s="10" t="inlineStr">
        <is>
          <t>Price(USD)</t>
        </is>
      </c>
      <c r="F4" s="10" t="inlineStr">
        <is>
          <t>Action</t>
        </is>
      </c>
      <c r="G4" s="11" t="inlineStr">
        <is>
          <t>Platform</t>
        </is>
      </c>
    </row>
    <row r="5">
      <c r="B5" s="7" t="inlineStr">
        <is>
          <t>???</t>
        </is>
      </c>
      <c r="C5" s="10" t="n">
        <v>50.42</v>
      </c>
      <c r="D5" s="10" t="n">
        <v>15</v>
      </c>
      <c r="E5" s="10">
        <f>D5/C5</f>
        <v/>
      </c>
      <c r="F5" s="10" t="inlineStr">
        <is>
          <t>BUY</t>
        </is>
      </c>
      <c r="H5">
        <f>IF($F5="BUY",C5,-C5)</f>
        <v/>
      </c>
      <c r="I5">
        <f>IF($F5="BUY",-D5,D5)</f>
        <v/>
      </c>
      <c r="K5" t="inlineStr">
        <is>
          <t>Ammount</t>
        </is>
      </c>
      <c r="L5" t="inlineStr">
        <is>
          <t>Invested</t>
        </is>
      </c>
      <c r="M5" t="inlineStr">
        <is>
          <t>avarage price</t>
        </is>
      </c>
    </row>
    <row r="6">
      <c r="B6" s="7" t="n">
        <v>44847.60625</v>
      </c>
      <c r="C6" s="10" t="n">
        <v>23.8</v>
      </c>
      <c r="D6" s="10" t="n">
        <v>5</v>
      </c>
      <c r="E6" s="10">
        <f>D6/C6</f>
        <v/>
      </c>
      <c r="F6" s="10" t="inlineStr">
        <is>
          <t>BUY</t>
        </is>
      </c>
      <c r="H6">
        <f>IF($F6="BUY",C6,-C6)</f>
        <v/>
      </c>
      <c r="I6">
        <f>IF($F6="BUY",-D6,D6)</f>
        <v/>
      </c>
      <c r="K6">
        <f>SUM($H$5:$H25)</f>
        <v/>
      </c>
      <c r="L6">
        <f>-SUM($I$5:$I25)</f>
        <v/>
      </c>
      <c r="M6">
        <f>L6/K6</f>
        <v/>
      </c>
    </row>
    <row r="7">
      <c r="B7" s="7" t="n">
        <v>44863.93055555555</v>
      </c>
      <c r="C7" s="10" t="n">
        <v>18.65</v>
      </c>
      <c r="D7" s="10" t="n">
        <v>5</v>
      </c>
      <c r="E7" s="10">
        <f>D7/C7</f>
        <v/>
      </c>
      <c r="F7" s="10" t="inlineStr">
        <is>
          <t>SELL</t>
        </is>
      </c>
      <c r="H7">
        <f>IF($F7="BUY",C7,-C7)</f>
        <v/>
      </c>
      <c r="I7">
        <f>IF($F7="BUY",-D7,D7)</f>
        <v/>
      </c>
    </row>
    <row r="8">
      <c r="B8" s="7" t="n">
        <v>44873.90277777778</v>
      </c>
      <c r="C8" s="10" t="n">
        <v>24.82</v>
      </c>
      <c r="D8" s="10" t="n">
        <v>5</v>
      </c>
      <c r="E8" s="10">
        <f>D8/C8</f>
        <v/>
      </c>
      <c r="F8" s="10" t="inlineStr">
        <is>
          <t>BUY</t>
        </is>
      </c>
      <c r="H8">
        <f>IF($F8="BUY",C8,-C8)</f>
        <v/>
      </c>
      <c r="I8">
        <f>IF($F8="BUY",-D8,D8)</f>
        <v/>
      </c>
    </row>
    <row r="9">
      <c r="B9" s="7" t="n">
        <v>44875.04027777778</v>
      </c>
      <c r="C9" s="10" t="n">
        <v>31.01</v>
      </c>
      <c r="D9" s="10" t="n">
        <v>5</v>
      </c>
      <c r="E9" s="10">
        <f>D9/C9</f>
        <v/>
      </c>
      <c r="F9" s="10" t="inlineStr">
        <is>
          <t>BUY</t>
        </is>
      </c>
      <c r="H9">
        <f>IF($F9="BUY",C9,-C9)</f>
        <v/>
      </c>
      <c r="I9">
        <f>IF($F9="BUY",-D9,D9)</f>
        <v/>
      </c>
    </row>
    <row r="10">
      <c r="B10" s="7" t="n">
        <v>44886.88819444444</v>
      </c>
      <c r="C10" s="10" t="n">
        <v>28.914</v>
      </c>
      <c r="D10" s="10" t="n">
        <v>5</v>
      </c>
      <c r="E10" s="10">
        <f>D10/C10</f>
        <v/>
      </c>
      <c r="F10" s="10" t="inlineStr">
        <is>
          <t>SELL</t>
        </is>
      </c>
      <c r="H10">
        <f>IF($F10="BUY",C10,-C10)</f>
        <v/>
      </c>
      <c r="I10">
        <f>IF($F10="BUY",-D10,D10)</f>
        <v/>
      </c>
      <c r="K10" s="59" t="n"/>
      <c r="L10" s="59" t="n"/>
      <c r="M10" s="59" t="inlineStr">
        <is>
          <t>Amount(BAT,USD)</t>
        </is>
      </c>
      <c r="N10" s="59" t="inlineStr">
        <is>
          <t>BUY</t>
        </is>
      </c>
      <c r="O10" s="59" t="inlineStr">
        <is>
          <t>SELL</t>
        </is>
      </c>
      <c r="P10" s="59" t="n"/>
    </row>
    <row r="11">
      <c r="B11" s="7" t="n">
        <v>44886.89375</v>
      </c>
      <c r="C11" s="10" t="n">
        <v>54.54</v>
      </c>
      <c r="D11" s="10" t="n">
        <v>0</v>
      </c>
      <c r="E11" s="10">
        <f>D11/C11</f>
        <v/>
      </c>
      <c r="F11" s="10" t="inlineStr">
        <is>
          <t>ACCUULATION</t>
        </is>
      </c>
      <c r="H11" t="n">
        <v>0</v>
      </c>
      <c r="I11">
        <f>IF($F11="BUY",-D11,D11)</f>
        <v/>
      </c>
      <c r="K11" s="59" t="inlineStr">
        <is>
          <t>Strategy:</t>
        </is>
      </c>
      <c r="L11" s="59" t="inlineStr">
        <is>
          <t>Short term</t>
        </is>
      </c>
      <c r="M11" s="59" t="inlineStr">
        <is>
          <t>all</t>
        </is>
      </c>
      <c r="N11" s="59" t="inlineStr">
        <is>
          <t>no buy</t>
        </is>
      </c>
      <c r="O11" s="59" t="n">
        <v>0.26</v>
      </c>
    </row>
    <row r="12" ht="19.2" customHeight="1" s="6">
      <c r="B12" s="7" t="n">
        <v>44907.26111111111</v>
      </c>
      <c r="C12" s="10" t="n">
        <v>29.924</v>
      </c>
      <c r="D12" s="10" t="n">
        <v>5</v>
      </c>
      <c r="E12" s="10">
        <f>D12/C12</f>
        <v/>
      </c>
      <c r="F12" s="10" t="inlineStr">
        <is>
          <t>BUY</t>
        </is>
      </c>
      <c r="H12">
        <f>IF($F12="BUY",C12,-C12)</f>
        <v/>
      </c>
      <c r="I12">
        <f>IF($F12="BUY",-D12,D12)</f>
        <v/>
      </c>
      <c r="K12" s="59" t="n"/>
      <c r="L12" s="59" t="n"/>
      <c r="M12" s="59" t="n"/>
      <c r="N12" s="59" t="n"/>
      <c r="O12" s="59" t="n"/>
    </row>
    <row r="13" ht="17.4" customHeight="1" s="6">
      <c r="B13" s="7" t="n">
        <v>44914.05486111111</v>
      </c>
      <c r="C13" s="10" t="n">
        <v>16.9</v>
      </c>
      <c r="D13" s="10" t="n">
        <v>2.5</v>
      </c>
      <c r="E13" s="10">
        <f>D13/C13</f>
        <v/>
      </c>
      <c r="F13" s="10" t="inlineStr">
        <is>
          <t>BUY</t>
        </is>
      </c>
      <c r="H13">
        <f>IF($F13="BUY",C13,-C13)</f>
        <v/>
      </c>
      <c r="I13">
        <f>IF($F13="BUY",-D13,D13)</f>
        <v/>
      </c>
    </row>
    <row r="14">
      <c r="B14" s="7" t="n">
        <v>44916.95277777778</v>
      </c>
      <c r="C14" s="10" t="n">
        <v>18.237</v>
      </c>
      <c r="D14" s="10" t="n">
        <v>2.5</v>
      </c>
      <c r="E14" s="10">
        <f>D14/C14</f>
        <v/>
      </c>
      <c r="F14" s="10" t="inlineStr">
        <is>
          <t>BUY</t>
        </is>
      </c>
      <c r="H14">
        <f>IF($F14="BUY",C14,-C14)</f>
        <v/>
      </c>
      <c r="I14">
        <f>IF($F14="BUY",-D14,D14)</f>
        <v/>
      </c>
    </row>
    <row r="15">
      <c r="B15" s="7" t="n">
        <v>44961.73230324074</v>
      </c>
      <c r="C15" s="10" t="n">
        <v>38.97801</v>
      </c>
      <c r="D15" s="10" t="n">
        <v>10</v>
      </c>
      <c r="E15" s="10">
        <f>D15/C15</f>
        <v/>
      </c>
      <c r="F15" s="10" t="inlineStr">
        <is>
          <t>SELL</t>
        </is>
      </c>
      <c r="H15">
        <f>IF($F15="BUY",C15,-C15)</f>
        <v/>
      </c>
      <c r="I15">
        <f>IF($F15="BUY",-D15,D15)</f>
        <v/>
      </c>
    </row>
    <row r="16">
      <c r="B16" s="7" t="n">
        <v>44961.73402777778</v>
      </c>
      <c r="C16" s="10" t="n">
        <v>25.53</v>
      </c>
      <c r="D16" s="10" t="n">
        <v>0</v>
      </c>
      <c r="E16" s="10">
        <f>D16/C16</f>
        <v/>
      </c>
      <c r="F16" s="10" t="inlineStr">
        <is>
          <t>ACCUULATION</t>
        </is>
      </c>
      <c r="H16" t="n">
        <v>0</v>
      </c>
      <c r="I16">
        <f>IF($F16="BUY",-D16,D16)</f>
        <v/>
      </c>
    </row>
    <row r="17">
      <c r="B17" s="7" t="n">
        <v>44972.94121527778</v>
      </c>
      <c r="C17" s="10" t="n">
        <v>27.57688</v>
      </c>
      <c r="D17" s="10" t="n">
        <v>7.208</v>
      </c>
      <c r="E17" s="10">
        <f>D17/C17</f>
        <v/>
      </c>
      <c r="F17" s="10" t="inlineStr">
        <is>
          <t>SELL</t>
        </is>
      </c>
      <c r="H17">
        <f>IF($F17="BUY",C17,-C17)</f>
        <v/>
      </c>
      <c r="I17">
        <f>IF($F17="BUY",-D17,D17)</f>
        <v/>
      </c>
    </row>
    <row r="18">
      <c r="B18" s="7" t="n">
        <v>44988.82863425926</v>
      </c>
      <c r="C18" s="10" t="n">
        <v>49.77</v>
      </c>
      <c r="D18" s="10" t="n">
        <v>10</v>
      </c>
      <c r="E18" s="10">
        <f>D18/C18</f>
        <v/>
      </c>
      <c r="F18" s="10" t="inlineStr">
        <is>
          <t>BUY</t>
        </is>
      </c>
      <c r="H18">
        <f>IF($F18="BUY",C18,-C18)</f>
        <v/>
      </c>
      <c r="I18">
        <f>IF($F18="BUY",-D18,D18)</f>
        <v/>
      </c>
    </row>
    <row r="19">
      <c r="B19" s="7" t="n">
        <v>44993.79097222222</v>
      </c>
      <c r="C19" s="10" t="n">
        <v>39.368</v>
      </c>
      <c r="D19" s="10" t="n">
        <v>7.2</v>
      </c>
      <c r="E19" s="10">
        <f>D19/C19</f>
        <v/>
      </c>
      <c r="F19" s="10" t="inlineStr">
        <is>
          <t>BUY</t>
        </is>
      </c>
      <c r="H19">
        <f>IF($F19="BUY",C19,-C19)</f>
        <v/>
      </c>
      <c r="I19">
        <f>IF($F19="BUY",-D19,D19)</f>
        <v/>
      </c>
    </row>
    <row r="20">
      <c r="B20" s="7" t="n">
        <v>45053.91310185185</v>
      </c>
      <c r="C20" s="10" t="n">
        <v>120.296</v>
      </c>
      <c r="D20" s="10" t="n">
        <v>20</v>
      </c>
      <c r="E20" s="10">
        <f>D20/C20</f>
        <v/>
      </c>
      <c r="F20" s="10" t="inlineStr">
        <is>
          <t>BUY</t>
        </is>
      </c>
      <c r="H20">
        <f>IF($F20="BUY",C20,-C20)</f>
        <v/>
      </c>
      <c r="I20">
        <f>IF($F20="BUY",-D20,D20)</f>
        <v/>
      </c>
    </row>
    <row r="21">
      <c r="B21" s="7" t="n">
        <v>45083.01458333333</v>
      </c>
      <c r="C21" s="10" t="n">
        <v>170.61898718</v>
      </c>
      <c r="D21" s="10" t="n">
        <v>20</v>
      </c>
      <c r="E21" s="10">
        <f>D21/C21</f>
        <v/>
      </c>
      <c r="F21" s="10" t="inlineStr">
        <is>
          <t>BUY</t>
        </is>
      </c>
      <c r="G21" t="inlineStr">
        <is>
          <t>Binance</t>
        </is>
      </c>
      <c r="H21">
        <f>IF($F21="BUY",C21,-C21)</f>
        <v/>
      </c>
      <c r="I21">
        <f>IF($F21="BUY",-D21,D21)</f>
        <v/>
      </c>
    </row>
    <row r="22">
      <c r="B22" s="7" t="n">
        <v>45186.56944444445</v>
      </c>
      <c r="C22" s="42" t="n">
        <v>170</v>
      </c>
      <c r="D22" s="10" t="n">
        <v>20</v>
      </c>
      <c r="E22" s="10">
        <f>D22/C22</f>
        <v/>
      </c>
      <c r="F22" s="10" t="inlineStr">
        <is>
          <t>SELL</t>
        </is>
      </c>
      <c r="H22">
        <f>IF($F22="BUY",C22,-C22)</f>
        <v/>
      </c>
      <c r="I22">
        <f>IF($F22="BUY",-D22,D22)</f>
        <v/>
      </c>
    </row>
  </sheetData>
  <mergeCells count="1">
    <mergeCell ref="B3:F3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4:M41"/>
  <sheetViews>
    <sheetView topLeftCell="A7" workbookViewId="0">
      <selection activeCell="F33" sqref="F33"/>
    </sheetView>
  </sheetViews>
  <sheetFormatPr baseColWidth="8" defaultRowHeight="14.4"/>
  <cols>
    <col width="15.6640625" bestFit="1" customWidth="1" style="6" min="2" max="2"/>
    <col width="11" bestFit="1" customWidth="1" style="6" min="3" max="3"/>
    <col width="12" bestFit="1" customWidth="1" style="6" min="5" max="5"/>
    <col width="15" bestFit="1" customWidth="1" style="6" min="6" max="6"/>
    <col width="28.77734375" bestFit="1" customWidth="1" style="6" min="7" max="7"/>
    <col width="19.5546875" customWidth="1" style="6" min="8" max="8"/>
  </cols>
  <sheetData>
    <row r="4">
      <c r="B4" s="58" t="inlineStr">
        <is>
          <t>AVAX</t>
        </is>
      </c>
    </row>
    <row r="5">
      <c r="B5" s="10" t="inlineStr">
        <is>
          <t>Date &amp; Time</t>
        </is>
      </c>
      <c r="C5" s="10" t="inlineStr">
        <is>
          <t>Ammount</t>
        </is>
      </c>
      <c r="D5" s="10" t="inlineStr">
        <is>
          <t>Cost(USD)</t>
        </is>
      </c>
      <c r="E5" s="10" t="inlineStr">
        <is>
          <t>Price(USD)</t>
        </is>
      </c>
      <c r="F5" s="10" t="inlineStr">
        <is>
          <t>Action</t>
        </is>
      </c>
      <c r="G5" s="10" t="inlineStr">
        <is>
          <t>Platform</t>
        </is>
      </c>
    </row>
    <row r="6">
      <c r="B6" s="7" t="n">
        <v>44783.00740740741</v>
      </c>
      <c r="C6" s="10" t="n">
        <v>0.614</v>
      </c>
      <c r="D6" s="10" t="n">
        <v>16.93</v>
      </c>
      <c r="E6" s="10">
        <f>D6/C6</f>
        <v/>
      </c>
      <c r="F6" s="10" t="inlineStr">
        <is>
          <t>BUY</t>
        </is>
      </c>
      <c r="G6" s="5" t="inlineStr">
        <is>
          <t>Binance(CEX)</t>
        </is>
      </c>
      <c r="H6">
        <f>IF($F6="BUY",C6,-C6)</f>
        <v/>
      </c>
      <c r="I6">
        <f>IF($F6="BUY",-D6,D6)</f>
        <v/>
      </c>
    </row>
    <row r="7">
      <c r="B7" s="7" t="n">
        <v>44783.74583333333</v>
      </c>
      <c r="C7" s="10" t="n">
        <v>0.614</v>
      </c>
      <c r="D7" s="5" t="n">
        <v>18.251</v>
      </c>
      <c r="E7" s="10">
        <f>D7/C7</f>
        <v/>
      </c>
      <c r="F7" s="10" t="inlineStr">
        <is>
          <t>SELL</t>
        </is>
      </c>
      <c r="G7" s="5" t="inlineStr">
        <is>
          <t>Binance(CEX)</t>
        </is>
      </c>
      <c r="H7">
        <f>IF($F7="BUY",C7,-C7)</f>
        <v/>
      </c>
      <c r="I7">
        <f>IF($F7="BUY",-D7,D7)</f>
        <v/>
      </c>
      <c r="K7" t="inlineStr">
        <is>
          <t>Ammount</t>
        </is>
      </c>
      <c r="L7" t="inlineStr">
        <is>
          <t>Invested</t>
        </is>
      </c>
      <c r="M7" t="inlineStr">
        <is>
          <t>avarage price</t>
        </is>
      </c>
    </row>
    <row r="8">
      <c r="B8" s="7" t="n">
        <v>44784.17847222222</v>
      </c>
      <c r="C8" s="10" t="n">
        <v>0.621</v>
      </c>
      <c r="D8" s="10" t="n">
        <v>18.25</v>
      </c>
      <c r="E8" s="10">
        <f>D8/C8</f>
        <v/>
      </c>
      <c r="F8" s="10" t="inlineStr">
        <is>
          <t>BUY</t>
        </is>
      </c>
      <c r="G8" s="5" t="inlineStr">
        <is>
          <t>Binance(CEX)</t>
        </is>
      </c>
      <c r="H8">
        <f>IF($F8="BUY",C8,-C8)</f>
        <v/>
      </c>
      <c r="I8">
        <f>IF($F8="BUY",-D8,D8)</f>
        <v/>
      </c>
      <c r="K8">
        <f>SUM($H$6:$H140)</f>
        <v/>
      </c>
      <c r="L8">
        <f>-SUM($I$6:$I45)</f>
        <v/>
      </c>
      <c r="M8">
        <f>L8/K8</f>
        <v/>
      </c>
    </row>
    <row r="9">
      <c r="B9" s="7" t="n">
        <v>44792.41388888889</v>
      </c>
      <c r="C9" s="10" t="n">
        <v>0.451</v>
      </c>
      <c r="D9" s="10" t="n">
        <v>10</v>
      </c>
      <c r="E9" s="10">
        <f>D9/C9</f>
        <v/>
      </c>
      <c r="F9" s="10" t="inlineStr">
        <is>
          <t>BUY</t>
        </is>
      </c>
      <c r="G9" s="5" t="inlineStr">
        <is>
          <t>Binance(CEX)</t>
        </is>
      </c>
      <c r="H9">
        <f>IF($F9="BUY",C9,-C9)</f>
        <v/>
      </c>
      <c r="I9">
        <f>IF($F9="BUY",-D9,D9)</f>
        <v/>
      </c>
    </row>
    <row r="10">
      <c r="B10" s="7" t="n">
        <v>44802.64027777778</v>
      </c>
      <c r="C10" s="10" t="n">
        <v>0.276</v>
      </c>
      <c r="D10" s="10" t="n">
        <v>5</v>
      </c>
      <c r="E10" s="10">
        <f>D10/C10</f>
        <v/>
      </c>
      <c r="F10" s="10" t="inlineStr">
        <is>
          <t>BUY</t>
        </is>
      </c>
      <c r="G10" s="5" t="inlineStr">
        <is>
          <t>Binance(CEX)</t>
        </is>
      </c>
      <c r="H10">
        <f>IF($F10="BUY",C10,-C10)</f>
        <v/>
      </c>
      <c r="I10">
        <f>IF($F10="BUY",-D10,D10)</f>
        <v/>
      </c>
    </row>
    <row r="11">
      <c r="B11" s="7" t="n">
        <v>44823.07083333333</v>
      </c>
      <c r="C11" s="10" t="n">
        <v>0.296</v>
      </c>
      <c r="D11" s="10" t="n">
        <v>5</v>
      </c>
      <c r="E11" s="10">
        <f>D11/C11</f>
        <v/>
      </c>
      <c r="F11" s="10" t="inlineStr">
        <is>
          <t>BUY</t>
        </is>
      </c>
      <c r="G11" s="5" t="inlineStr">
        <is>
          <t>Binance(CEX)</t>
        </is>
      </c>
      <c r="H11">
        <f>IF($F11="BUY",C11,-C11)</f>
        <v/>
      </c>
      <c r="I11">
        <f>IF($F11="BUY",-D11,D11)</f>
        <v/>
      </c>
    </row>
    <row r="12">
      <c r="B12" s="7" t="n">
        <v>44845.27986111111</v>
      </c>
      <c r="C12" s="10" t="n">
        <v>0.396</v>
      </c>
      <c r="D12" s="10" t="n">
        <v>6.34</v>
      </c>
      <c r="E12" s="10">
        <f>D12/C12</f>
        <v/>
      </c>
      <c r="F12" s="10" t="inlineStr">
        <is>
          <t>BUY</t>
        </is>
      </c>
      <c r="G12" s="5" t="inlineStr">
        <is>
          <t>Binance(CEX)</t>
        </is>
      </c>
      <c r="H12">
        <f>IF($F12="BUY",C12,-C12)</f>
        <v/>
      </c>
      <c r="I12">
        <f>IF($F12="BUY",-D12,D12)</f>
        <v/>
      </c>
    </row>
    <row r="13">
      <c r="B13" s="7" t="n">
        <v>44863.55347222222</v>
      </c>
      <c r="C13" s="10" t="n">
        <v>0.269</v>
      </c>
      <c r="D13" s="10" t="n">
        <v>5</v>
      </c>
      <c r="E13" s="10">
        <f>D13/C13</f>
        <v/>
      </c>
      <c r="F13" s="10" t="inlineStr">
        <is>
          <t>SELL</t>
        </is>
      </c>
      <c r="G13" s="5" t="inlineStr">
        <is>
          <t>Binance(CEX)</t>
        </is>
      </c>
      <c r="H13">
        <f>IF($F13="BUY",C13,-C13)</f>
        <v/>
      </c>
      <c r="I13">
        <f>IF($F13="BUY",-D13,D13)</f>
        <v/>
      </c>
    </row>
    <row r="14">
      <c r="B14" s="7" t="n">
        <v>44873.86944444444</v>
      </c>
      <c r="C14" s="10" t="n">
        <v>0.309</v>
      </c>
      <c r="D14" s="10" t="n">
        <v>5</v>
      </c>
      <c r="E14" s="10">
        <f>D14/C14</f>
        <v/>
      </c>
      <c r="F14" s="10" t="inlineStr">
        <is>
          <t>BUY</t>
        </is>
      </c>
      <c r="G14" s="5" t="inlineStr">
        <is>
          <t>Binance(CEX)</t>
        </is>
      </c>
      <c r="H14">
        <f>IF($F14="BUY",C14,-C14)</f>
        <v/>
      </c>
      <c r="I14">
        <f>IF($F14="BUY",-D14,D14)</f>
        <v/>
      </c>
    </row>
    <row r="15">
      <c r="B15" s="7" t="n">
        <v>44875.04097222222</v>
      </c>
      <c r="C15" s="10" t="n">
        <v>0.388</v>
      </c>
      <c r="D15" s="10" t="n">
        <v>5</v>
      </c>
      <c r="E15" s="10">
        <f>D15/C15</f>
        <v/>
      </c>
      <c r="F15" s="10" t="inlineStr">
        <is>
          <t>BUY</t>
        </is>
      </c>
      <c r="G15" s="5" t="inlineStr">
        <is>
          <t>Binance(CEX)</t>
        </is>
      </c>
      <c r="H15">
        <f>IF($F15="BUY",C15,-C15)</f>
        <v/>
      </c>
      <c r="I15">
        <f>IF($F15="BUY",-D15,D15)</f>
        <v/>
      </c>
    </row>
    <row r="16">
      <c r="B16" s="7" t="n">
        <v>44886.325</v>
      </c>
      <c r="C16" s="10" t="n">
        <v>0.415</v>
      </c>
      <c r="D16" s="10" t="n">
        <v>5</v>
      </c>
      <c r="E16" s="10">
        <f>D16/C16</f>
        <v/>
      </c>
      <c r="F16" s="10" t="inlineStr">
        <is>
          <t>BUY</t>
        </is>
      </c>
      <c r="G16" s="5" t="inlineStr">
        <is>
          <t>Binance(CEX)</t>
        </is>
      </c>
      <c r="H16">
        <f>IF($F16="BUY",C16,-C16)</f>
        <v/>
      </c>
      <c r="I16">
        <f>IF($F16="BUY",-D16,D16)</f>
        <v/>
      </c>
    </row>
    <row r="17">
      <c r="B17" s="7" t="n">
        <v>44900.9125</v>
      </c>
      <c r="C17" s="10" t="n">
        <v>0.37</v>
      </c>
      <c r="D17" s="10" t="n">
        <v>5</v>
      </c>
      <c r="E17" s="10">
        <f>D17/C17</f>
        <v/>
      </c>
      <c r="F17" s="10" t="inlineStr">
        <is>
          <t>SELL</t>
        </is>
      </c>
      <c r="G17" s="5" t="inlineStr">
        <is>
          <t>Binance(CEX)</t>
        </is>
      </c>
      <c r="H17">
        <f>IF($F17="BUY",C17,-C17)</f>
        <v/>
      </c>
      <c r="I17">
        <f>IF($F17="BUY",-D17,D17)</f>
        <v/>
      </c>
    </row>
    <row r="18">
      <c r="B18" s="7" t="n">
        <v>44913.99444444444</v>
      </c>
      <c r="C18" s="10" t="n">
        <v>0.41929</v>
      </c>
      <c r="D18" s="10" t="n">
        <v>5</v>
      </c>
      <c r="E18" s="10">
        <f>D18/C18</f>
        <v/>
      </c>
      <c r="F18" s="10" t="inlineStr">
        <is>
          <t>BUY</t>
        </is>
      </c>
      <c r="G18" s="5" t="inlineStr">
        <is>
          <t>Binance(CEX)</t>
        </is>
      </c>
      <c r="H18">
        <f>IF($F18="BUY",C18,-C18)</f>
        <v/>
      </c>
      <c r="I18">
        <f>IF($F18="BUY",-D18,D18)</f>
        <v/>
      </c>
    </row>
    <row r="19">
      <c r="B19" s="7" t="n">
        <v>44914.00972222222</v>
      </c>
      <c r="C19" s="10" t="n">
        <v>1.4</v>
      </c>
      <c r="D19" s="10" t="n">
        <v>0</v>
      </c>
      <c r="E19" s="10">
        <f>D19/C19</f>
        <v/>
      </c>
      <c r="F19" s="10" t="inlineStr">
        <is>
          <t>ACCUMULATION</t>
        </is>
      </c>
      <c r="G19" s="5" t="n"/>
      <c r="H19" t="n">
        <v>0</v>
      </c>
      <c r="I19">
        <f>IF($F19="BUY",-D19,D19)</f>
        <v/>
      </c>
    </row>
    <row r="20">
      <c r="B20" s="7" t="n">
        <v>44924.99513888889</v>
      </c>
      <c r="C20" s="10" t="n">
        <v>0.4591</v>
      </c>
      <c r="D20" s="10" t="n">
        <v>5</v>
      </c>
      <c r="E20" s="10">
        <f>D20/C20</f>
        <v/>
      </c>
      <c r="F20" s="10" t="inlineStr">
        <is>
          <t>BUY</t>
        </is>
      </c>
      <c r="G20" s="5" t="inlineStr">
        <is>
          <t>Binance(CEX)</t>
        </is>
      </c>
      <c r="H20">
        <f>IF($F20="BUY",C20,-C20)</f>
        <v/>
      </c>
      <c r="I20">
        <f>IF($F20="BUY",-D20,D20)</f>
        <v/>
      </c>
    </row>
    <row r="21">
      <c r="B21" s="7" t="n">
        <v>44937.85694444444</v>
      </c>
      <c r="C21" s="10" t="n">
        <v>0.7682</v>
      </c>
      <c r="D21" s="10" t="n">
        <v>10</v>
      </c>
      <c r="E21" s="10">
        <f>D21/C21</f>
        <v/>
      </c>
      <c r="F21" s="10" t="inlineStr">
        <is>
          <t>SELL</t>
        </is>
      </c>
      <c r="G21" s="5" t="inlineStr">
        <is>
          <t>Binance(CEX)</t>
        </is>
      </c>
      <c r="H21">
        <f>IF($F21="BUY",C21,-C21)</f>
        <v/>
      </c>
      <c r="I21">
        <f>IF($F21="BUY",-D21,D21)</f>
        <v/>
      </c>
    </row>
    <row r="22">
      <c r="B22" s="7" t="n">
        <v>44937.87569444445</v>
      </c>
      <c r="C22" s="10" t="n">
        <v>0.72</v>
      </c>
      <c r="D22" s="10" t="n">
        <v>10.08</v>
      </c>
      <c r="E22" s="10">
        <f>D22/C22</f>
        <v/>
      </c>
      <c r="F22" s="10" t="inlineStr">
        <is>
          <t>SELL</t>
        </is>
      </c>
      <c r="G22" s="5" t="inlineStr">
        <is>
          <t>Binance(CEX)</t>
        </is>
      </c>
      <c r="H22">
        <f>IF($F22="BUY",C22,-C22)</f>
        <v/>
      </c>
      <c r="I22">
        <f>IF($F22="BUY",-D22,D22)</f>
        <v/>
      </c>
    </row>
    <row r="23">
      <c r="B23" s="7" t="n">
        <v>44993.02916666667</v>
      </c>
      <c r="C23" s="10" t="n">
        <v>0.49019284</v>
      </c>
      <c r="D23" s="10" t="n">
        <v>0</v>
      </c>
      <c r="E23" s="10">
        <f>D23/C23</f>
        <v/>
      </c>
      <c r="F23" s="10" t="inlineStr">
        <is>
          <t>ACCUMULATION</t>
        </is>
      </c>
      <c r="G23" s="5" t="n"/>
      <c r="H23" t="n">
        <v>0</v>
      </c>
      <c r="I23">
        <f>IF($F23="BUY",-D23,D23)</f>
        <v/>
      </c>
    </row>
    <row r="24">
      <c r="B24" s="7" t="n">
        <v>44996.5875</v>
      </c>
      <c r="C24" s="10" t="n">
        <v>2.09904202</v>
      </c>
      <c r="D24" s="10" t="n">
        <v>30</v>
      </c>
      <c r="E24" s="10">
        <f>D24/C24</f>
        <v/>
      </c>
      <c r="F24" s="10" t="inlineStr">
        <is>
          <t>BUY</t>
        </is>
      </c>
      <c r="G24" s="5" t="inlineStr">
        <is>
          <t>Binance(CEX)</t>
        </is>
      </c>
      <c r="H24">
        <f>IF($F24="BUY",C24,-C24)</f>
        <v/>
      </c>
      <c r="I24">
        <f>IF($F24="BUY",-D24,D24)</f>
        <v/>
      </c>
    </row>
    <row r="25">
      <c r="B25" s="7" t="n">
        <v>44996.58958333333</v>
      </c>
      <c r="C25" s="10" t="n">
        <v>2.09104202</v>
      </c>
      <c r="D25" s="10" t="n">
        <v>0.008</v>
      </c>
      <c r="E25" s="10" t="n">
        <v>0</v>
      </c>
      <c r="F25" s="10" t="inlineStr">
        <is>
          <t>ACCUMULATION</t>
        </is>
      </c>
      <c r="G25" s="5" t="n"/>
      <c r="H25" t="n">
        <v>-0.008</v>
      </c>
      <c r="I25">
        <f>IF($F25="BUY",-D25,D25)</f>
        <v/>
      </c>
    </row>
    <row r="26">
      <c r="B26" s="7" t="n">
        <v>45156.325</v>
      </c>
      <c r="C26" s="10" t="n">
        <v>3.7589262</v>
      </c>
      <c r="D26" s="10" t="n">
        <v>40</v>
      </c>
      <c r="E26" s="10">
        <f>D26/C26</f>
        <v/>
      </c>
      <c r="F26" s="10" t="inlineStr">
        <is>
          <t>BUY</t>
        </is>
      </c>
      <c r="G26" s="5" t="inlineStr">
        <is>
          <t>Binance(CEX)</t>
        </is>
      </c>
      <c r="H26">
        <f>IF($F26="BUY",C26,-C26)</f>
        <v/>
      </c>
      <c r="I26">
        <f>IF($F26="BUY",-D26,D26)</f>
        <v/>
      </c>
    </row>
    <row r="27">
      <c r="B27" s="7" t="n">
        <v>45248.525</v>
      </c>
      <c r="C27" s="10" t="n">
        <v>5.2</v>
      </c>
      <c r="D27" s="10" t="n">
        <v>109.279</v>
      </c>
      <c r="E27" s="10">
        <f>D27/C27</f>
        <v/>
      </c>
      <c r="F27" s="10" t="inlineStr">
        <is>
          <t>SELL</t>
        </is>
      </c>
      <c r="G27" s="10" t="inlineStr">
        <is>
          <t>Trust wallet integrated swap(DEX)</t>
        </is>
      </c>
      <c r="H27">
        <f>IF($F27="BUY",C27,-C27)</f>
        <v/>
      </c>
      <c r="I27">
        <f>IF($F27="BUY",-D27,D27)</f>
        <v/>
      </c>
    </row>
    <row r="28">
      <c r="B28" s="7" t="n">
        <v>45248.53055555555</v>
      </c>
      <c r="C28" s="10" t="n">
        <v>2</v>
      </c>
      <c r="D28" s="10" t="n">
        <v>41.891</v>
      </c>
      <c r="E28" s="10">
        <f>D28/C28</f>
        <v/>
      </c>
      <c r="F28" s="10" t="inlineStr">
        <is>
          <t>SELL</t>
        </is>
      </c>
      <c r="G28" s="10" t="inlineStr">
        <is>
          <t>Trust wallet integrated swap(DEX)</t>
        </is>
      </c>
      <c r="H28">
        <f>IF($F28="BUY",C28,-C28)</f>
        <v/>
      </c>
      <c r="I28">
        <f>IF($F28="BUY",-D28,D28)</f>
        <v/>
      </c>
    </row>
    <row r="29">
      <c r="B29" s="10" t="n"/>
      <c r="C29" s="10" t="n"/>
      <c r="D29" s="10" t="n"/>
      <c r="E29" s="10" t="n"/>
      <c r="F29" s="10" t="n"/>
      <c r="G29" s="10" t="n"/>
      <c r="H29">
        <f>IF($F29="BUY",C29,-C29)</f>
        <v/>
      </c>
      <c r="I29">
        <f>IF($F29="BUY",-D29,D29)</f>
        <v/>
      </c>
    </row>
    <row r="30">
      <c r="B30" s="10" t="n"/>
      <c r="C30" s="10" t="n"/>
      <c r="D30" s="10" t="n"/>
      <c r="E30" s="10" t="n"/>
      <c r="F30" s="10" t="n"/>
      <c r="G30" s="10" t="n"/>
      <c r="H30">
        <f>IF($F30="BUY",C30,-C30)</f>
        <v/>
      </c>
      <c r="I30">
        <f>IF($F30="BUY",-D30,D30)</f>
        <v/>
      </c>
    </row>
    <row r="31">
      <c r="B31" s="10" t="n"/>
      <c r="C31" s="10" t="n"/>
      <c r="D31" s="10" t="n"/>
      <c r="E31" s="10" t="n"/>
      <c r="F31" s="10" t="n"/>
      <c r="G31" s="10" t="n"/>
      <c r="H31">
        <f>IF($F31="BUY",C31,-C31)</f>
        <v/>
      </c>
      <c r="I31">
        <f>IF($F31="BUY",-D31,D31)</f>
        <v/>
      </c>
    </row>
    <row r="32">
      <c r="B32" s="10" t="n"/>
      <c r="C32" s="10" t="n"/>
      <c r="D32" s="10" t="n"/>
      <c r="E32" s="10" t="n"/>
      <c r="F32" s="10" t="n"/>
      <c r="G32" s="10" t="n"/>
      <c r="H32">
        <f>IF($F32="BUY",C32,-C32)</f>
        <v/>
      </c>
      <c r="I32">
        <f>IF($F32="BUY",-D32,D32)</f>
        <v/>
      </c>
    </row>
    <row r="33">
      <c r="B33" s="10" t="n"/>
      <c r="C33" s="10" t="n"/>
      <c r="D33" s="10" t="n"/>
      <c r="E33" s="10" t="n"/>
      <c r="F33" s="10" t="n"/>
      <c r="G33" s="10" t="n"/>
      <c r="H33">
        <f>IF($F33="BUY",C33,-C33)</f>
        <v/>
      </c>
      <c r="I33">
        <f>IF($F33="BUY",-D33,D33)</f>
        <v/>
      </c>
    </row>
    <row r="34">
      <c r="B34" s="10" t="n"/>
      <c r="C34" s="10" t="n"/>
      <c r="D34" s="10" t="n"/>
      <c r="E34" s="10" t="n"/>
      <c r="F34" s="10" t="n"/>
      <c r="G34" s="10" t="n"/>
      <c r="H34">
        <f>IF($F34="BUY",C34,-C34)</f>
        <v/>
      </c>
      <c r="I34">
        <f>IF($F34="BUY",-D34,D34)</f>
        <v/>
      </c>
    </row>
    <row r="35">
      <c r="B35" s="10" t="n"/>
      <c r="C35" s="10" t="n"/>
      <c r="D35" s="10" t="n"/>
      <c r="E35" s="10" t="n"/>
      <c r="F35" s="10" t="n"/>
      <c r="G35" s="10" t="n"/>
      <c r="H35">
        <f>IF($F35="BUY",C35,-C35)</f>
        <v/>
      </c>
      <c r="I35">
        <f>IF($F35="BUY",-D35,D35)</f>
        <v/>
      </c>
    </row>
    <row r="36">
      <c r="B36" s="10" t="n"/>
      <c r="C36" s="10" t="n"/>
      <c r="D36" s="10" t="n"/>
      <c r="E36" s="10" t="n"/>
      <c r="F36" s="10" t="n"/>
      <c r="G36" s="10" t="n"/>
      <c r="H36">
        <f>IF($F36="BUY",C36,-C36)</f>
        <v/>
      </c>
      <c r="I36">
        <f>IF($F36="BUY",-D36,D36)</f>
        <v/>
      </c>
    </row>
    <row r="37">
      <c r="B37" s="10" t="n"/>
      <c r="C37" s="10" t="n"/>
      <c r="D37" s="10" t="n"/>
      <c r="E37" s="10" t="n"/>
      <c r="F37" s="10" t="n"/>
      <c r="G37" s="10" t="n"/>
      <c r="H37">
        <f>IF($F37="BUY",C37,-C37)</f>
        <v/>
      </c>
      <c r="I37">
        <f>IF($F37="BUY",-D37,D37)</f>
        <v/>
      </c>
    </row>
    <row r="38">
      <c r="H38">
        <f>IF($F38="BUY",C38,-C38)</f>
        <v/>
      </c>
      <c r="I38">
        <f>IF($F38="BUY",-D38,D38)</f>
        <v/>
      </c>
    </row>
    <row r="39">
      <c r="H39">
        <f>IF($F39="BUY",C39,-C39)</f>
        <v/>
      </c>
      <c r="I39">
        <f>IF($F39="BUY",-D39,D39)</f>
        <v/>
      </c>
    </row>
    <row r="40">
      <c r="H40">
        <f>IF($F40="BUY",C40,-C40)</f>
        <v/>
      </c>
      <c r="I40">
        <f>IF($F40="BUY",-D40,D40)</f>
        <v/>
      </c>
    </row>
    <row r="41">
      <c r="H41">
        <f>IF($F41="BUY",C41,-C41)</f>
        <v/>
      </c>
      <c r="I41">
        <f>IF($F41="BUY",-D41,D41)</f>
        <v/>
      </c>
    </row>
  </sheetData>
  <mergeCells count="1">
    <mergeCell ref="B4:F4"/>
  </mergeCell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3:Q46"/>
  <sheetViews>
    <sheetView topLeftCell="A19" zoomScaleNormal="100" workbookViewId="0">
      <selection activeCell="P42" sqref="P42"/>
    </sheetView>
  </sheetViews>
  <sheetFormatPr baseColWidth="8" defaultRowHeight="14.4"/>
  <cols>
    <col width="16.21875" bestFit="1" customWidth="1" style="6" min="2" max="2"/>
    <col width="10" bestFit="1" customWidth="1" style="6" min="3" max="3"/>
    <col width="14.6640625" bestFit="1" customWidth="1" style="6" min="4" max="4"/>
    <col width="12" bestFit="1" customWidth="1" style="6" min="5" max="5"/>
    <col width="10.33203125" bestFit="1" customWidth="1" style="6" min="7" max="7"/>
    <col width="7.109375" customWidth="1" style="6" min="11" max="11"/>
  </cols>
  <sheetData>
    <row r="3">
      <c r="B3" s="57" t="inlineStr">
        <is>
          <t>SOL</t>
        </is>
      </c>
      <c r="C3" s="60" t="n"/>
      <c r="D3" s="60" t="n"/>
      <c r="E3" s="60" t="n"/>
      <c r="F3" s="60" t="n"/>
    </row>
    <row r="4">
      <c r="B4" s="10" t="inlineStr">
        <is>
          <t>Date &amp; Time</t>
        </is>
      </c>
      <c r="C4" s="10" t="inlineStr">
        <is>
          <t>Ammount</t>
        </is>
      </c>
      <c r="D4" s="10" t="inlineStr">
        <is>
          <t>Cost(USD)</t>
        </is>
      </c>
      <c r="E4" s="10" t="inlineStr">
        <is>
          <t>Price(USD)</t>
        </is>
      </c>
      <c r="F4" s="10" t="inlineStr">
        <is>
          <t>Action</t>
        </is>
      </c>
      <c r="G4" s="11" t="inlineStr">
        <is>
          <t>Platform</t>
        </is>
      </c>
    </row>
    <row r="5">
      <c r="B5" s="7" t="n">
        <v>44783.90614583333</v>
      </c>
      <c r="C5" s="10" t="n">
        <v>0.24</v>
      </c>
      <c r="D5" s="10" t="n">
        <v>10</v>
      </c>
      <c r="E5" s="10">
        <f>D5/C5</f>
        <v/>
      </c>
      <c r="F5" s="10" t="inlineStr">
        <is>
          <t>BUY</t>
        </is>
      </c>
      <c r="I5">
        <f>IF(F5="BUY",C5,-C5)</f>
        <v/>
      </c>
      <c r="J5">
        <f>IF(F5="BUY",-D5,D5)</f>
        <v/>
      </c>
    </row>
    <row r="6">
      <c r="B6" s="7" t="n">
        <v>44785.96944444445</v>
      </c>
      <c r="C6" s="10" t="n">
        <v>0.241</v>
      </c>
      <c r="D6" s="5" t="n">
        <v>10.82</v>
      </c>
      <c r="E6" s="10">
        <f>D6/C6</f>
        <v/>
      </c>
      <c r="F6" s="10" t="inlineStr">
        <is>
          <t>SELL</t>
        </is>
      </c>
      <c r="I6">
        <f>IF(F6="BUY",C6,-C6)</f>
        <v/>
      </c>
      <c r="J6">
        <f>IF(F6="BUY",-D6,D6)</f>
        <v/>
      </c>
    </row>
    <row r="7">
      <c r="B7" s="7" t="n">
        <v>44792.40138888889</v>
      </c>
      <c r="C7" s="10" t="n">
        <v>0.28</v>
      </c>
      <c r="D7" s="10" t="n">
        <v>10.08</v>
      </c>
      <c r="E7" s="10">
        <f>D7/C7</f>
        <v/>
      </c>
      <c r="F7" s="10" t="inlineStr">
        <is>
          <t>BUY</t>
        </is>
      </c>
      <c r="I7">
        <f>IF(F7="BUY",C7,-C7)</f>
        <v/>
      </c>
      <c r="J7">
        <f>IF(F7="BUY",-D7,D7)</f>
        <v/>
      </c>
      <c r="P7" s="58" t="n"/>
      <c r="Q7" s="58" t="n"/>
    </row>
    <row r="8">
      <c r="B8" s="7" t="n">
        <v>44792.40833333333</v>
      </c>
      <c r="C8" s="10" t="n">
        <v>0.2965</v>
      </c>
      <c r="D8" s="10" t="n">
        <v>10.82</v>
      </c>
      <c r="E8" s="10">
        <f>D8/C8</f>
        <v/>
      </c>
      <c r="F8" s="10" t="inlineStr">
        <is>
          <t>BUY</t>
        </is>
      </c>
      <c r="I8">
        <f>IF(F8="BUY",C8,-C8)</f>
        <v/>
      </c>
      <c r="J8">
        <f>IF(F8="BUY",-D8,D8)</f>
        <v/>
      </c>
    </row>
    <row r="9">
      <c r="B9" s="7" t="n">
        <v>44800.96388888889</v>
      </c>
      <c r="C9" s="10" t="n">
        <v>0.159</v>
      </c>
      <c r="D9" s="10" t="n">
        <v>5</v>
      </c>
      <c r="E9" s="10">
        <f>D9/C9</f>
        <v/>
      </c>
      <c r="F9" s="10" t="inlineStr">
        <is>
          <t>BUY</t>
        </is>
      </c>
      <c r="I9">
        <f>IF(F9="BUY",C9,-C9)</f>
        <v/>
      </c>
      <c r="J9">
        <f>IF(F9="BUY",-D9,D9)</f>
        <v/>
      </c>
    </row>
    <row r="10">
      <c r="B10" s="7" t="n">
        <v>44802.12152777778</v>
      </c>
      <c r="C10" s="10" t="n">
        <v>0.164</v>
      </c>
      <c r="D10" s="10" t="n">
        <v>5</v>
      </c>
      <c r="E10" s="10">
        <f>D10/C10</f>
        <v/>
      </c>
      <c r="F10" s="10" t="inlineStr">
        <is>
          <t>BUY</t>
        </is>
      </c>
      <c r="I10">
        <f>IF(F10="BUY",C10,-C10)</f>
        <v/>
      </c>
      <c r="J10">
        <f>IF(F10="BUY",-D10,D10)</f>
        <v/>
      </c>
      <c r="L10" t="inlineStr">
        <is>
          <t>Error</t>
        </is>
      </c>
      <c r="M10" t="n">
        <v>0</v>
      </c>
    </row>
    <row r="11">
      <c r="B11" s="7" t="n">
        <v>44816.6625</v>
      </c>
      <c r="C11" s="10" t="n">
        <v>0.225</v>
      </c>
      <c r="D11" s="10" t="n">
        <v>8.483000000000001</v>
      </c>
      <c r="E11" s="10">
        <f>D11/C11</f>
        <v/>
      </c>
      <c r="F11" s="10" t="inlineStr">
        <is>
          <t>SELL</t>
        </is>
      </c>
      <c r="I11">
        <f>IF(F11="BUY",C11,-C11)</f>
        <v/>
      </c>
      <c r="J11">
        <f>IF(F11="BUY",-D11,D11)</f>
        <v/>
      </c>
    </row>
    <row r="12">
      <c r="B12" s="7" t="n">
        <v>44817.78402777778</v>
      </c>
      <c r="C12" s="10" t="n">
        <v>0.243</v>
      </c>
      <c r="D12" s="10" t="n">
        <v>8.48</v>
      </c>
      <c r="E12" s="10">
        <f>D12/C12</f>
        <v/>
      </c>
      <c r="F12" s="10" t="inlineStr">
        <is>
          <t>BUY</t>
        </is>
      </c>
      <c r="I12">
        <f>IF(F12="BUY",C12,-C12)</f>
        <v/>
      </c>
      <c r="J12">
        <f>IF(F12="BUY",-D12,D12)</f>
        <v/>
      </c>
    </row>
    <row r="13">
      <c r="B13" s="7" t="n">
        <v>44834.05416666667</v>
      </c>
      <c r="C13" s="10" t="n">
        <v>0.15</v>
      </c>
      <c r="D13" s="10" t="n">
        <v>5.09</v>
      </c>
      <c r="E13" s="10">
        <f>D13/C13</f>
        <v/>
      </c>
      <c r="F13" s="10" t="inlineStr">
        <is>
          <t>SELL</t>
        </is>
      </c>
      <c r="I13">
        <f>IF(F13="BUY",C13,-C13)</f>
        <v/>
      </c>
      <c r="J13">
        <f>IF(F13="BUY",-D13,D13)</f>
        <v/>
      </c>
    </row>
    <row r="14">
      <c r="B14" s="7" t="n">
        <v>44845.27361111111</v>
      </c>
      <c r="C14" s="10" t="n">
        <v>0.1614</v>
      </c>
      <c r="D14" s="10" t="n">
        <v>5</v>
      </c>
      <c r="E14" s="10">
        <f>D14/C14</f>
        <v/>
      </c>
      <c r="F14" s="10" t="inlineStr">
        <is>
          <t>BUY</t>
        </is>
      </c>
      <c r="I14">
        <f>IF(F14="BUY",C14,-C14)</f>
        <v/>
      </c>
      <c r="J14">
        <f>IF(F14="BUY",-D14,D14)</f>
        <v/>
      </c>
      <c r="L14" t="inlineStr">
        <is>
          <t>Ammount</t>
        </is>
      </c>
      <c r="M14" t="inlineStr">
        <is>
          <t>Invested</t>
        </is>
      </c>
      <c r="N14" t="inlineStr">
        <is>
          <t>avarage price</t>
        </is>
      </c>
    </row>
    <row r="15">
      <c r="B15" s="7" t="n">
        <v>44854.68680555555</v>
      </c>
      <c r="C15" s="10" t="n">
        <v>0.171</v>
      </c>
      <c r="D15" s="10" t="n">
        <v>5</v>
      </c>
      <c r="E15" s="10">
        <f>D15/C15</f>
        <v/>
      </c>
      <c r="F15" s="10" t="inlineStr">
        <is>
          <t>BUY</t>
        </is>
      </c>
      <c r="I15">
        <f>IF(F15="BUY",C15,-C15)</f>
        <v/>
      </c>
      <c r="J15">
        <f>IF(F15="BUY",-D15,D15)</f>
        <v/>
      </c>
      <c r="L15">
        <f>SUM($I$5:$I49)-M10</f>
        <v/>
      </c>
      <c r="M15">
        <f>-SUM($J$5:$J49)</f>
        <v/>
      </c>
      <c r="N15">
        <f>M15/L15</f>
        <v/>
      </c>
    </row>
    <row r="16">
      <c r="B16" s="7" t="n">
        <v>44859.84722222222</v>
      </c>
      <c r="C16" s="10" t="n">
        <v>0.16</v>
      </c>
      <c r="D16" s="10" t="n">
        <v>5</v>
      </c>
      <c r="E16" s="10">
        <f>D16/C16</f>
        <v/>
      </c>
      <c r="F16" s="10" t="inlineStr">
        <is>
          <t>SELL</t>
        </is>
      </c>
      <c r="I16">
        <f>IF(F16="BUY",C16,-C16)</f>
        <v/>
      </c>
      <c r="J16">
        <f>IF(F16="BUY",-D16,D16)</f>
        <v/>
      </c>
    </row>
    <row r="17">
      <c r="B17" s="7" t="n">
        <v>44870.73055555556</v>
      </c>
      <c r="C17" s="10" t="n">
        <v>0.134</v>
      </c>
      <c r="D17" s="10" t="n">
        <v>5</v>
      </c>
      <c r="E17" s="10">
        <f>D17/C17</f>
        <v/>
      </c>
      <c r="F17" s="10" t="inlineStr">
        <is>
          <t>SELL</t>
        </is>
      </c>
      <c r="I17">
        <f>IF(F17="BUY",C17,-C17)</f>
        <v/>
      </c>
      <c r="J17">
        <f>IF(F17="BUY",-D17,D17)</f>
        <v/>
      </c>
    </row>
    <row r="18">
      <c r="B18" s="7" t="n">
        <v>44872.22986111111</v>
      </c>
      <c r="C18" s="10" t="n">
        <v>0.1529</v>
      </c>
      <c r="D18" s="10" t="n">
        <v>5</v>
      </c>
      <c r="E18" s="10">
        <f>D18/C18</f>
        <v/>
      </c>
      <c r="F18" s="10" t="inlineStr">
        <is>
          <t>BUY</t>
        </is>
      </c>
      <c r="I18">
        <f>IF(F18="BUY",C18,-C18)</f>
        <v/>
      </c>
      <c r="J18">
        <f>IF(F18="BUY",-D18,D18)</f>
        <v/>
      </c>
    </row>
    <row r="19">
      <c r="B19" s="7" t="n">
        <v>44873.23819444444</v>
      </c>
      <c r="C19" s="10" t="n">
        <v>0.369</v>
      </c>
      <c r="D19" s="10" t="n">
        <v>10</v>
      </c>
      <c r="E19" s="10">
        <f>D19/C19</f>
        <v/>
      </c>
      <c r="F19" s="10" t="inlineStr">
        <is>
          <t>BUY</t>
        </is>
      </c>
      <c r="I19">
        <f>IF(F19="BUY",C19,-C19)</f>
        <v/>
      </c>
      <c r="J19">
        <f>IF(F19="BUY",-D19,D19)</f>
        <v/>
      </c>
    </row>
    <row r="20">
      <c r="B20" s="7" t="n">
        <v>44873.85069444445</v>
      </c>
      <c r="C20" s="10" t="n">
        <v>0.409</v>
      </c>
      <c r="D20" s="10" t="n">
        <v>10</v>
      </c>
      <c r="E20" s="10">
        <f>D20/C20</f>
        <v/>
      </c>
      <c r="F20" s="10" t="inlineStr">
        <is>
          <t>BUY</t>
        </is>
      </c>
      <c r="I20">
        <f>IF(F20="BUY",C20,-C20)</f>
        <v/>
      </c>
      <c r="J20">
        <f>IF(F20="BUY",-D20,D20)</f>
        <v/>
      </c>
    </row>
    <row r="21">
      <c r="B21" s="7" t="n">
        <v>44874.39583333334</v>
      </c>
      <c r="C21" s="10" t="n">
        <v>0.246</v>
      </c>
      <c r="D21" s="10" t="n">
        <v>5</v>
      </c>
      <c r="E21" s="10">
        <f>D21/C21</f>
        <v/>
      </c>
      <c r="F21" s="10" t="inlineStr">
        <is>
          <t>BUY</t>
        </is>
      </c>
      <c r="I21">
        <f>IF(F21="BUY",C21,-C21)</f>
        <v/>
      </c>
      <c r="J21">
        <f>IF(F21="BUY",-D21,D21)</f>
        <v/>
      </c>
    </row>
    <row r="22">
      <c r="B22" s="7" t="n">
        <v>44874.88888888889</v>
      </c>
      <c r="C22" s="10" t="n">
        <v>0.345</v>
      </c>
      <c r="D22" s="10" t="n">
        <v>5</v>
      </c>
      <c r="E22" s="10">
        <f>D22/C22</f>
        <v/>
      </c>
      <c r="F22" s="10" t="inlineStr">
        <is>
          <t>BUY</t>
        </is>
      </c>
      <c r="I22">
        <f>IF(F22="BUY",C22,-C22)</f>
        <v/>
      </c>
      <c r="J22">
        <f>IF(F22="BUY",-D22,D22)</f>
        <v/>
      </c>
    </row>
    <row r="23">
      <c r="B23" s="7" t="n">
        <v>44875.04305555556</v>
      </c>
      <c r="C23" s="10" t="n">
        <v>0.703</v>
      </c>
      <c r="D23" s="10" t="n">
        <v>10</v>
      </c>
      <c r="E23" s="10">
        <f>D23/C23</f>
        <v/>
      </c>
      <c r="F23" s="10" t="inlineStr">
        <is>
          <t>BUY</t>
        </is>
      </c>
      <c r="I23">
        <f>IF(F23="BUY",C23,-C23)</f>
        <v/>
      </c>
      <c r="J23">
        <f>IF(F23="BUY",-D23,D23)</f>
        <v/>
      </c>
    </row>
    <row r="24">
      <c r="B24" s="7" t="n">
        <v>44875.71875</v>
      </c>
      <c r="C24" s="10" t="n">
        <v>0.581</v>
      </c>
      <c r="D24" s="10" t="n">
        <v>10</v>
      </c>
      <c r="E24" s="10">
        <f>D24/C24</f>
        <v/>
      </c>
      <c r="F24" s="10" t="inlineStr">
        <is>
          <t>BUY</t>
        </is>
      </c>
      <c r="I24">
        <f>IF(F24="BUY",C24,-C24)</f>
        <v/>
      </c>
      <c r="J24">
        <f>IF(F24="BUY",-D24,D24)</f>
        <v/>
      </c>
    </row>
    <row r="25">
      <c r="B25" s="7" t="n">
        <v>44876.73333333333</v>
      </c>
      <c r="C25" s="10" t="n">
        <v>0.304</v>
      </c>
      <c r="D25" s="10" t="n">
        <v>5</v>
      </c>
      <c r="E25" s="10">
        <f>D25/C25</f>
        <v/>
      </c>
      <c r="F25" s="10" t="inlineStr">
        <is>
          <t>SELL</t>
        </is>
      </c>
      <c r="I25">
        <f>IF(F25="BUY",C25,-C25)</f>
        <v/>
      </c>
      <c r="J25">
        <f>IF(F25="BUY",-D25,D25)</f>
        <v/>
      </c>
    </row>
    <row r="26">
      <c r="B26" s="7" t="n">
        <v>44878.35902777778</v>
      </c>
      <c r="C26" s="10" t="n">
        <v>0.352</v>
      </c>
      <c r="D26" s="10" t="n">
        <v>5</v>
      </c>
      <c r="E26" s="10">
        <f>D26/C26</f>
        <v/>
      </c>
      <c r="F26" s="10" t="inlineStr">
        <is>
          <t>BUY</t>
        </is>
      </c>
      <c r="I26">
        <f>IF(F26="BUY",C26,-C26)</f>
        <v/>
      </c>
      <c r="J26">
        <f>IF(F26="BUY",-D26,D26)</f>
        <v/>
      </c>
    </row>
    <row r="27">
      <c r="B27" s="7" t="n">
        <v>44884.4125</v>
      </c>
      <c r="C27" s="10" t="n">
        <v>0.388</v>
      </c>
      <c r="D27" s="10" t="n">
        <v>5</v>
      </c>
      <c r="E27" s="10">
        <f>D27/C27</f>
        <v/>
      </c>
      <c r="F27" s="10" t="inlineStr">
        <is>
          <t>BUY</t>
        </is>
      </c>
      <c r="I27">
        <f>IF(F27="BUY",C27,-C27)</f>
        <v/>
      </c>
      <c r="J27">
        <f>IF(F27="BUY",-D27,D27)</f>
        <v/>
      </c>
    </row>
    <row r="28">
      <c r="B28" s="7" t="n">
        <v>44886.65347222222</v>
      </c>
      <c r="C28" s="10" t="n">
        <v>0.414</v>
      </c>
      <c r="D28" s="10" t="n">
        <v>5</v>
      </c>
      <c r="E28" s="10">
        <f>D28/C28</f>
        <v/>
      </c>
      <c r="F28" s="10" t="inlineStr">
        <is>
          <t>BUY</t>
        </is>
      </c>
      <c r="I28">
        <f>IF(F28="BUY",C28,-C28)</f>
        <v/>
      </c>
      <c r="J28">
        <f>IF(F28="BUY",-D28,D28)</f>
        <v/>
      </c>
    </row>
    <row r="29">
      <c r="B29" s="7" t="n">
        <v>44909.53472222222</v>
      </c>
      <c r="C29" s="10" t="n">
        <v>0.3583</v>
      </c>
      <c r="D29" s="10" t="n">
        <v>5</v>
      </c>
      <c r="E29" s="10">
        <f>D29/C29</f>
        <v/>
      </c>
      <c r="F29" s="10" t="inlineStr">
        <is>
          <t>SELL</t>
        </is>
      </c>
      <c r="I29">
        <f>IF(F29="BUY",C29,-C29)</f>
        <v/>
      </c>
      <c r="J29">
        <f>IF(F29="BUY",-D29,D29)</f>
        <v/>
      </c>
    </row>
    <row r="30">
      <c r="B30" s="7" t="n">
        <v>44910.30486111111</v>
      </c>
      <c r="C30" s="10" t="n">
        <v>0.351</v>
      </c>
      <c r="D30" s="10" t="n">
        <v>5</v>
      </c>
      <c r="E30" s="10">
        <f>D30/C30</f>
        <v/>
      </c>
      <c r="F30" s="10" t="inlineStr">
        <is>
          <t>SELL</t>
        </is>
      </c>
      <c r="I30">
        <f>IF(F30="BUY",C30,-C30)</f>
        <v/>
      </c>
      <c r="J30">
        <f>IF(F30="BUY",-D30,D30)</f>
        <v/>
      </c>
    </row>
    <row r="31">
      <c r="B31" s="7" t="n">
        <v>44912.02858796297</v>
      </c>
      <c r="C31" s="10" t="n">
        <v>0.404</v>
      </c>
      <c r="D31" s="10" t="n">
        <v>5</v>
      </c>
      <c r="E31" s="10">
        <f>D31/C31</f>
        <v/>
      </c>
      <c r="F31" s="10" t="inlineStr">
        <is>
          <t>BUY</t>
        </is>
      </c>
      <c r="G31" t="inlineStr">
        <is>
          <t>BitGet(CEX)</t>
        </is>
      </c>
      <c r="I31">
        <f>IF(F31="BUY",C31,-C31)</f>
        <v/>
      </c>
      <c r="J31">
        <f>IF(F31="BUY",-D31,D31)</f>
        <v/>
      </c>
    </row>
    <row r="32">
      <c r="B32" s="7" t="n">
        <v>44915.24652777778</v>
      </c>
      <c r="C32" s="10" t="n">
        <v>0.408</v>
      </c>
      <c r="D32" s="10" t="n">
        <v>5</v>
      </c>
      <c r="E32" s="10">
        <f>D32/C32</f>
        <v/>
      </c>
      <c r="F32" s="10" t="inlineStr">
        <is>
          <t>BUY</t>
        </is>
      </c>
      <c r="I32">
        <f>IF(F32="BUY",C32,-C32)</f>
        <v/>
      </c>
      <c r="J32">
        <f>IF(F32="BUY",-D32,D32)</f>
        <v/>
      </c>
    </row>
    <row r="33">
      <c r="B33" s="7" t="n">
        <v>44919.50138888889</v>
      </c>
      <c r="C33" s="10" t="n">
        <v>0.442</v>
      </c>
      <c r="D33" s="10" t="n">
        <v>5</v>
      </c>
      <c r="E33" s="10">
        <f>D33/C33</f>
        <v/>
      </c>
      <c r="F33" s="10" t="inlineStr">
        <is>
          <t>BUY</t>
        </is>
      </c>
      <c r="I33">
        <f>IF(F33="BUY",C33,-C33)</f>
        <v/>
      </c>
      <c r="J33">
        <f>IF(F33="BUY",-D33,D33)</f>
        <v/>
      </c>
    </row>
    <row r="34">
      <c r="B34" s="7" t="n">
        <v>44922.70416666667</v>
      </c>
      <c r="C34" s="10" t="n">
        <v>0.457</v>
      </c>
      <c r="D34" s="10" t="n">
        <v>5</v>
      </c>
      <c r="E34" s="10">
        <f>D34/C34</f>
        <v/>
      </c>
      <c r="F34" s="10" t="inlineStr">
        <is>
          <t>BUY</t>
        </is>
      </c>
      <c r="I34">
        <f>IF(F34="BUY",C34,-C34)</f>
        <v/>
      </c>
      <c r="J34">
        <f>IF(F34="BUY",-D34,D34)</f>
        <v/>
      </c>
    </row>
    <row r="35">
      <c r="B35" s="7" t="n">
        <v>44923.70277777778</v>
      </c>
      <c r="C35" s="10" t="n">
        <v>0.488</v>
      </c>
      <c r="D35" s="10" t="n">
        <v>5</v>
      </c>
      <c r="E35" s="10">
        <f>D35/C35</f>
        <v/>
      </c>
      <c r="F35" s="10" t="inlineStr">
        <is>
          <t>BUY</t>
        </is>
      </c>
      <c r="I35">
        <f>IF(F35="BUY",C35,-C35)</f>
        <v/>
      </c>
      <c r="J35">
        <f>IF(F35="BUY",-D35,D35)</f>
        <v/>
      </c>
    </row>
    <row r="36">
      <c r="B36" s="7" t="n">
        <v>44929.35208333333</v>
      </c>
      <c r="C36" s="25" t="n">
        <v>0.84</v>
      </c>
      <c r="D36" s="10" t="n">
        <v>10.08</v>
      </c>
      <c r="E36" s="10">
        <f>D36/C36</f>
        <v/>
      </c>
      <c r="F36" s="10" t="inlineStr">
        <is>
          <t>SELL</t>
        </is>
      </c>
      <c r="I36">
        <f>IF(F36="BUY",C36,-C36)</f>
        <v/>
      </c>
      <c r="J36">
        <f>IF(F36="BUY",-D36,D36)</f>
        <v/>
      </c>
    </row>
    <row r="37">
      <c r="B37" s="7" t="n">
        <v>44929.73958333334</v>
      </c>
      <c r="C37" s="10" t="n">
        <v>0.3874</v>
      </c>
      <c r="D37" s="10" t="n">
        <v>5</v>
      </c>
      <c r="E37" s="10">
        <f>D37/C37</f>
        <v/>
      </c>
      <c r="F37" s="10" t="inlineStr">
        <is>
          <t>SELL</t>
        </is>
      </c>
      <c r="I37">
        <f>IF(F37="BUY",C37,-C37)</f>
        <v/>
      </c>
      <c r="J37">
        <f>IF(F37="BUY",-D37,D37)</f>
        <v/>
      </c>
    </row>
    <row r="38">
      <c r="B38" s="7" t="n">
        <v>44929.74166666667</v>
      </c>
      <c r="C38" s="10" t="n">
        <v>0.3571</v>
      </c>
      <c r="D38" s="10" t="n">
        <v>5</v>
      </c>
      <c r="E38" s="10">
        <f>D38/C38</f>
        <v/>
      </c>
      <c r="F38" s="10" t="inlineStr">
        <is>
          <t>SELL</t>
        </is>
      </c>
      <c r="I38">
        <f>IF(F38="BUY",C38,-C38)</f>
        <v/>
      </c>
      <c r="J38">
        <f>IF(F38="BUY",-D38,D38)</f>
        <v/>
      </c>
    </row>
    <row r="39">
      <c r="B39" s="7" t="n">
        <v>44935.15138888889</v>
      </c>
      <c r="C39" s="10" t="n">
        <v>0.67</v>
      </c>
      <c r="D39" s="10" t="n">
        <v>10.05</v>
      </c>
      <c r="E39" s="10">
        <f>D39/C39</f>
        <v/>
      </c>
      <c r="F39" s="10" t="inlineStr">
        <is>
          <t>SELL</t>
        </is>
      </c>
      <c r="I39">
        <f>IF(F39="BUY",C39,-C39)</f>
        <v/>
      </c>
      <c r="J39">
        <f>IF(F39="BUY",-D39,D39)</f>
        <v/>
      </c>
    </row>
    <row r="40">
      <c r="B40" s="7" t="n">
        <v>44940.01111111111</v>
      </c>
      <c r="C40" s="10" t="n">
        <v>0.2752</v>
      </c>
      <c r="D40" s="10" t="n">
        <v>5</v>
      </c>
      <c r="E40" s="10">
        <f>D40/C40</f>
        <v/>
      </c>
      <c r="F40" s="10" t="inlineStr">
        <is>
          <t>SELL</t>
        </is>
      </c>
      <c r="I40">
        <f>IF(F40="BUY",C40,-C40)</f>
        <v/>
      </c>
      <c r="J40">
        <f>IF(F40="BUY",-D40,D40)</f>
        <v/>
      </c>
    </row>
    <row r="41">
      <c r="B41" s="7" t="n">
        <v>44940.21597222222</v>
      </c>
      <c r="C41" s="10" t="n">
        <v>0.2275</v>
      </c>
      <c r="D41" s="10" t="n">
        <v>5</v>
      </c>
      <c r="E41" s="10">
        <f>D41/C41</f>
        <v/>
      </c>
      <c r="F41" s="10" t="inlineStr">
        <is>
          <t>SELL</t>
        </is>
      </c>
      <c r="I41">
        <f>IF(F41="BUY",C41,-C41)</f>
        <v/>
      </c>
      <c r="J41">
        <f>IF(F41="BUY",-D41,D41)</f>
        <v/>
      </c>
    </row>
    <row r="42">
      <c r="B42" s="7" t="n">
        <v>44977.04861111111</v>
      </c>
      <c r="C42" s="10" t="n">
        <v>0.1969</v>
      </c>
      <c r="D42" s="10" t="n">
        <v>5</v>
      </c>
      <c r="E42" s="10">
        <f>D42/C42</f>
        <v/>
      </c>
      <c r="F42" s="10" t="inlineStr">
        <is>
          <t>SELL</t>
        </is>
      </c>
      <c r="I42">
        <f>IF(F42="BUY",C42,-C42)</f>
        <v/>
      </c>
      <c r="J42">
        <f>IF(F42="BUY",-D42,D42)</f>
        <v/>
      </c>
    </row>
    <row r="43">
      <c r="B43" s="7" t="n">
        <v>44986.00486111111</v>
      </c>
      <c r="C43" s="10" t="n">
        <v>0.4521</v>
      </c>
      <c r="D43" s="10" t="n">
        <v>9.9344</v>
      </c>
      <c r="E43" s="10">
        <f>D43/C43</f>
        <v/>
      </c>
      <c r="F43" s="10" t="inlineStr">
        <is>
          <t>BUY</t>
        </is>
      </c>
      <c r="I43">
        <f>IF(F43="BUY",C43,-C43)</f>
        <v/>
      </c>
      <c r="J43">
        <f>IF(F43="BUY",-D43,D43)</f>
        <v/>
      </c>
    </row>
    <row r="44">
      <c r="B44" s="7" t="n">
        <v>44994.95277777778</v>
      </c>
      <c r="C44" s="10" t="n">
        <v>0.3030303</v>
      </c>
      <c r="D44" s="10" t="n">
        <v>5</v>
      </c>
      <c r="E44" s="10">
        <f>D44/C44</f>
        <v/>
      </c>
      <c r="F44" s="10" t="inlineStr">
        <is>
          <t>BUY</t>
        </is>
      </c>
      <c r="I44">
        <f>IF(F44="BUY",C44,-C44)</f>
        <v/>
      </c>
      <c r="J44">
        <f>IF(F44="BUY",-D44,D44)</f>
        <v/>
      </c>
    </row>
    <row r="45">
      <c r="B45" s="7" t="n">
        <v>45120.97083333333</v>
      </c>
      <c r="C45" s="10" t="n">
        <v>2.14288616</v>
      </c>
      <c r="D45" s="10" t="n">
        <v>55.21</v>
      </c>
      <c r="E45" s="10">
        <f>D45/C45</f>
        <v/>
      </c>
      <c r="F45" s="10" t="inlineStr">
        <is>
          <t>SELL</t>
        </is>
      </c>
      <c r="I45" s="14">
        <f>IF(F45="BUY",C45,-C45)</f>
        <v/>
      </c>
      <c r="J45">
        <f>IF(F45="BUY",-D45,D45)</f>
        <v/>
      </c>
      <c r="K45" s="14" t="n"/>
    </row>
    <row r="46">
      <c r="B46" s="7" t="n">
        <v>45217.31597222222</v>
      </c>
      <c r="C46" s="10" t="n">
        <v>1.54800027</v>
      </c>
      <c r="D46" s="10" t="n">
        <v>37.01757698</v>
      </c>
      <c r="E46" s="10">
        <f>D46/C46</f>
        <v/>
      </c>
      <c r="F46" s="11" t="inlineStr">
        <is>
          <t>SELL</t>
        </is>
      </c>
      <c r="I46">
        <f>IF(F46="BUY",C46,-C46)</f>
        <v/>
      </c>
      <c r="J46">
        <f>IF(F46="BUY",-D46,D46)</f>
        <v/>
      </c>
    </row>
  </sheetData>
  <mergeCells count="1">
    <mergeCell ref="B3:F3"/>
  </mergeCells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N23"/>
  <sheetViews>
    <sheetView zoomScale="115" zoomScaleNormal="115" workbookViewId="0">
      <selection activeCell="M18" sqref="M18"/>
    </sheetView>
  </sheetViews>
  <sheetFormatPr baseColWidth="8" defaultRowHeight="14.4"/>
  <cols>
    <col width="15.6640625" bestFit="1" customWidth="1" style="6" min="2" max="2"/>
    <col width="21.88671875" bestFit="1" customWidth="1" style="6" min="3" max="3"/>
    <col width="11.6640625" bestFit="1" customWidth="1" style="6" min="8" max="8"/>
    <col width="11.88671875" bestFit="1" customWidth="1" style="6" min="14" max="14"/>
  </cols>
  <sheetData>
    <row r="2">
      <c r="C2" s="58" t="n"/>
    </row>
    <row r="3">
      <c r="C3" s="8" t="inlineStr">
        <is>
          <t>Date &amp; Time</t>
        </is>
      </c>
      <c r="D3" s="10" t="inlineStr">
        <is>
          <t>Ammount</t>
        </is>
      </c>
      <c r="E3" s="10" t="inlineStr">
        <is>
          <t>Cost(USD)</t>
        </is>
      </c>
      <c r="F3" s="10" t="inlineStr">
        <is>
          <t>Price(USD)</t>
        </is>
      </c>
      <c r="G3" s="10" t="inlineStr">
        <is>
          <t>Action</t>
        </is>
      </c>
      <c r="H3" s="11" t="inlineStr">
        <is>
          <t>Platform</t>
        </is>
      </c>
    </row>
    <row r="4">
      <c r="C4" s="10" t="inlineStr">
        <is>
          <t>???</t>
        </is>
      </c>
      <c r="D4" s="10" t="n">
        <v>207.55</v>
      </c>
      <c r="E4" s="10" t="n">
        <v>15</v>
      </c>
      <c r="F4" s="10">
        <f>E4/D4</f>
        <v/>
      </c>
      <c r="G4" s="10" t="inlineStr">
        <is>
          <t>BUY</t>
        </is>
      </c>
      <c r="H4" s="5" t="inlineStr">
        <is>
          <t>Binance(CEX)</t>
        </is>
      </c>
      <c r="I4">
        <f>IF($G4="BUY",D4,-D4)</f>
        <v/>
      </c>
      <c r="J4">
        <f>IF($G4="BUY",-E4,E4)</f>
        <v/>
      </c>
    </row>
    <row r="5">
      <c r="C5" s="7" t="n">
        <v>44792.41527777778</v>
      </c>
      <c r="D5" s="10" t="n">
        <v>76.86</v>
      </c>
      <c r="E5" s="10" t="n">
        <v>5</v>
      </c>
      <c r="F5" s="10">
        <f>E5/D5</f>
        <v/>
      </c>
      <c r="G5" s="10" t="inlineStr">
        <is>
          <t>BUY</t>
        </is>
      </c>
      <c r="H5" s="5" t="inlineStr">
        <is>
          <t>Binance(CEX)</t>
        </is>
      </c>
      <c r="I5">
        <f>IF($G5="BUY",D5,-D5)</f>
        <v/>
      </c>
      <c r="J5">
        <f>IF($G5="BUY",-E5,E5)</f>
        <v/>
      </c>
      <c r="L5" t="inlineStr">
        <is>
          <t>Ammount</t>
        </is>
      </c>
      <c r="M5" t="inlineStr">
        <is>
          <t>Invested</t>
        </is>
      </c>
      <c r="N5" t="inlineStr">
        <is>
          <t>avarage price</t>
        </is>
      </c>
    </row>
    <row r="6">
      <c r="C6" s="7" t="n">
        <v>44811.3625</v>
      </c>
      <c r="D6" s="10" t="n">
        <v>84.69</v>
      </c>
      <c r="E6" s="10" t="n">
        <v>5</v>
      </c>
      <c r="F6" s="10">
        <f>E6/D6</f>
        <v/>
      </c>
      <c r="G6" s="10" t="inlineStr">
        <is>
          <t>BUY</t>
        </is>
      </c>
      <c r="H6" s="5" t="inlineStr">
        <is>
          <t>Binance(CEX)</t>
        </is>
      </c>
      <c r="I6">
        <f>IF($G6="BUY",D6,-D6)</f>
        <v/>
      </c>
      <c r="J6">
        <f>IF($G6="BUY",-E6,E6)</f>
        <v/>
      </c>
      <c r="L6">
        <f>SUM(I4:I50)</f>
        <v/>
      </c>
      <c r="M6">
        <f>-SUM(J4:J50)</f>
        <v/>
      </c>
      <c r="N6">
        <f>M6/L6</f>
        <v/>
      </c>
    </row>
    <row r="7">
      <c r="C7" s="7" t="n">
        <v>44854.89097222222</v>
      </c>
      <c r="D7" s="10" t="n">
        <v>86.3</v>
      </c>
      <c r="E7" s="10" t="n">
        <v>5</v>
      </c>
      <c r="F7" s="10">
        <f>E7/D7</f>
        <v/>
      </c>
      <c r="G7" s="10" t="inlineStr">
        <is>
          <t>BUY</t>
        </is>
      </c>
      <c r="H7" s="5" t="inlineStr">
        <is>
          <t>Binance(CEX)</t>
        </is>
      </c>
      <c r="I7">
        <f>IF($G7="BUY",D7,-D7)</f>
        <v/>
      </c>
      <c r="J7">
        <f>IF($G7="BUY",-E7,E7)</f>
        <v/>
      </c>
    </row>
    <row r="8">
      <c r="C8" s="7" t="n">
        <v>44873.90138888889</v>
      </c>
      <c r="D8" s="10" t="n">
        <v>99.64</v>
      </c>
      <c r="E8" s="10" t="n">
        <v>5</v>
      </c>
      <c r="F8" s="10">
        <f>E8/D8</f>
        <v/>
      </c>
      <c r="G8" s="10" t="inlineStr">
        <is>
          <t>BUY</t>
        </is>
      </c>
      <c r="H8" s="5" t="inlineStr">
        <is>
          <t>Binance(CEX)</t>
        </is>
      </c>
      <c r="I8">
        <f>IF($G8="BUY",D8,-D8)</f>
        <v/>
      </c>
      <c r="J8">
        <f>IF($G8="BUY",-E8,E8)</f>
        <v/>
      </c>
    </row>
    <row r="9">
      <c r="C9" s="7" t="n">
        <v>44875.08819444444</v>
      </c>
      <c r="D9" s="10" t="n">
        <v>56.8</v>
      </c>
      <c r="E9" s="10" t="n">
        <v>2.5</v>
      </c>
      <c r="F9" s="10">
        <f>E9/D9</f>
        <v/>
      </c>
      <c r="G9" s="10" t="inlineStr">
        <is>
          <t>BUY</t>
        </is>
      </c>
      <c r="H9" s="5" t="inlineStr">
        <is>
          <t>Binance(CEX)</t>
        </is>
      </c>
      <c r="I9">
        <f>IF($G9="BUY",D9,-D9)</f>
        <v/>
      </c>
      <c r="J9">
        <f>IF($G9="BUY",-E9,E9)</f>
        <v/>
      </c>
    </row>
    <row r="10">
      <c r="C10" s="7" t="n">
        <v>44882.68819444445</v>
      </c>
      <c r="D10" s="10" t="n">
        <v>50.12</v>
      </c>
      <c r="E10" s="10" t="n">
        <v>2.5</v>
      </c>
      <c r="F10" s="10">
        <f>E10/D10</f>
        <v/>
      </c>
      <c r="G10" s="10" t="inlineStr">
        <is>
          <t>SELL</t>
        </is>
      </c>
      <c r="H10" s="5" t="inlineStr">
        <is>
          <t>Binance(CEX)</t>
        </is>
      </c>
      <c r="I10">
        <f>IF($G10="BUY",D10,-D10)</f>
        <v/>
      </c>
      <c r="J10">
        <f>IF($G10="BUY",-E10,E10)</f>
        <v/>
      </c>
    </row>
    <row r="11">
      <c r="C11" s="7" t="n">
        <v>44912.03055555555</v>
      </c>
      <c r="D11" s="10" t="n">
        <v>237.042</v>
      </c>
      <c r="E11" s="10" t="n">
        <v>10</v>
      </c>
      <c r="F11" s="10">
        <f>E11/D11</f>
        <v/>
      </c>
      <c r="G11" s="10" t="inlineStr">
        <is>
          <t>SELL</t>
        </is>
      </c>
      <c r="H11" s="5" t="inlineStr">
        <is>
          <t>Binance(CEX)</t>
        </is>
      </c>
      <c r="I11">
        <f>IF($G11="BUY",D11,-D11)</f>
        <v/>
      </c>
      <c r="J11">
        <f>IF($G11="BUY",-E11,E11)</f>
        <v/>
      </c>
    </row>
    <row r="12">
      <c r="B12" s="9" t="n"/>
      <c r="C12" s="7" t="n">
        <v>44912.03541666667</v>
      </c>
      <c r="D12" s="10" t="n">
        <v>237.01</v>
      </c>
      <c r="E12" s="10" t="n">
        <v>10</v>
      </c>
      <c r="F12" s="10">
        <f>E12/D12</f>
        <v/>
      </c>
      <c r="G12" s="10" t="inlineStr">
        <is>
          <t>SELL</t>
        </is>
      </c>
      <c r="H12" s="5" t="inlineStr">
        <is>
          <t>Binance(CEX)</t>
        </is>
      </c>
      <c r="I12">
        <f>IF($G12="BUY",D12,-D12)</f>
        <v/>
      </c>
      <c r="J12">
        <f>IF($G12="BUY",-E12,E12)</f>
        <v/>
      </c>
    </row>
    <row r="13">
      <c r="B13" s="9" t="n"/>
      <c r="C13" s="7" t="n">
        <v>44915.24375</v>
      </c>
      <c r="D13" s="10" t="n">
        <v>238.055</v>
      </c>
      <c r="E13" s="10" t="n">
        <v>10</v>
      </c>
      <c r="F13" s="10">
        <f>E13/D13</f>
        <v/>
      </c>
      <c r="G13" s="10" t="inlineStr">
        <is>
          <t>BUY</t>
        </is>
      </c>
      <c r="H13" s="5" t="inlineStr">
        <is>
          <t>Binance(CEX)</t>
        </is>
      </c>
      <c r="I13">
        <f>IF($G13="BUY",D13,-D13)</f>
        <v/>
      </c>
      <c r="J13">
        <f>IF($G13="BUY",-E13,E13)</f>
        <v/>
      </c>
    </row>
    <row r="14">
      <c r="B14" s="9" t="n"/>
      <c r="C14" s="7" t="n">
        <v>44915.25</v>
      </c>
      <c r="D14" s="10" t="n">
        <v>238.0555</v>
      </c>
      <c r="E14" s="10" t="n">
        <v>10</v>
      </c>
      <c r="F14" s="10">
        <f>E14/D14</f>
        <v/>
      </c>
      <c r="G14" s="10" t="inlineStr">
        <is>
          <t>BUY</t>
        </is>
      </c>
      <c r="H14" s="5" t="inlineStr">
        <is>
          <t>Binance(CEX)</t>
        </is>
      </c>
      <c r="I14">
        <f>IF($G14="BUY",D14,-D14)</f>
        <v/>
      </c>
      <c r="J14">
        <f>IF($G14="BUY",-E14,E14)</f>
        <v/>
      </c>
    </row>
    <row r="15">
      <c r="B15" s="9" t="n"/>
      <c r="C15" s="7" t="n">
        <v>44924.99444444444</v>
      </c>
      <c r="D15" s="10" t="n">
        <v>128.159</v>
      </c>
      <c r="E15" s="10" t="n">
        <v>5</v>
      </c>
      <c r="F15" s="10">
        <f>E15/D15</f>
        <v/>
      </c>
      <c r="G15" s="10" t="inlineStr">
        <is>
          <t>BUY</t>
        </is>
      </c>
      <c r="H15" s="5" t="inlineStr">
        <is>
          <t>Binance(CEX)</t>
        </is>
      </c>
      <c r="I15">
        <f>IF($G15="BUY",D15,-D15)</f>
        <v/>
      </c>
      <c r="J15">
        <f>IF($G15="BUY",-E15,E15)</f>
        <v/>
      </c>
    </row>
    <row r="16">
      <c r="C16" s="7" t="n">
        <v>44927.08194444444</v>
      </c>
      <c r="D16" s="10" t="n">
        <v>136.622</v>
      </c>
      <c r="E16" s="10" t="n">
        <v>5</v>
      </c>
      <c r="F16" s="10">
        <f>E16/D16</f>
        <v/>
      </c>
      <c r="G16" s="10" t="inlineStr">
        <is>
          <t>BUY</t>
        </is>
      </c>
      <c r="H16" s="5" t="inlineStr">
        <is>
          <t>Binance(CEX)</t>
        </is>
      </c>
      <c r="I16">
        <f>IF($G16="BUY",D16,-D16)</f>
        <v/>
      </c>
      <c r="J16">
        <f>IF($G16="BUY",-E16,E16)</f>
        <v/>
      </c>
    </row>
    <row r="17">
      <c r="C17" s="7" t="n">
        <v>44944.92795138889</v>
      </c>
      <c r="D17" s="10" t="n">
        <v>264</v>
      </c>
      <c r="E17" s="10" t="n">
        <v>14.86</v>
      </c>
      <c r="F17" s="10">
        <f>E17/D17</f>
        <v/>
      </c>
      <c r="G17" s="10" t="inlineStr">
        <is>
          <t>SELL</t>
        </is>
      </c>
      <c r="H17" s="5" t="inlineStr">
        <is>
          <t>Binance(CEX)</t>
        </is>
      </c>
      <c r="I17">
        <f>IF($G17="BUY",D17,-D17)</f>
        <v/>
      </c>
      <c r="J17">
        <f>IF($G17="BUY",-E17,E17)</f>
        <v/>
      </c>
    </row>
    <row r="18">
      <c r="C18" s="7" t="n">
        <v>44967.52417824074</v>
      </c>
      <c r="D18" s="10" t="n">
        <v>564</v>
      </c>
      <c r="E18" s="10" t="n">
        <v>43.3152</v>
      </c>
      <c r="F18" s="10">
        <f>E18/D18</f>
        <v/>
      </c>
      <c r="G18" s="10" t="inlineStr">
        <is>
          <t>SELL</t>
        </is>
      </c>
      <c r="H18" s="5" t="inlineStr">
        <is>
          <t>Binance(CEX)</t>
        </is>
      </c>
      <c r="I18">
        <f>IF($G18="BUY",D18,-D18)</f>
        <v/>
      </c>
      <c r="J18">
        <f>IF($G18="BUY",-E18,E18)</f>
        <v/>
      </c>
    </row>
    <row r="19">
      <c r="C19" s="7" t="n">
        <v>44997.77868055556</v>
      </c>
      <c r="D19" s="10" t="n">
        <v>760.4761727</v>
      </c>
      <c r="E19" s="10" t="n">
        <v>43</v>
      </c>
      <c r="F19" s="10">
        <f>E19/D19</f>
        <v/>
      </c>
      <c r="G19" s="10" t="inlineStr">
        <is>
          <t>BUY</t>
        </is>
      </c>
      <c r="H19" s="5" t="inlineStr">
        <is>
          <t>Binance(CEX)</t>
        </is>
      </c>
      <c r="I19">
        <f>IF($G19="BUY",D19,-D19)</f>
        <v/>
      </c>
      <c r="J19">
        <f>IF($G19="BUY",-E19,E19)</f>
        <v/>
      </c>
    </row>
    <row r="20">
      <c r="C20" s="7" t="n">
        <v>45035.2878587963</v>
      </c>
      <c r="D20" s="10" t="n">
        <v>252.037</v>
      </c>
      <c r="E20" s="10" t="n">
        <v>17</v>
      </c>
      <c r="F20" s="10">
        <f>E20/D20</f>
        <v/>
      </c>
      <c r="G20" s="10" t="inlineStr">
        <is>
          <t>BUY</t>
        </is>
      </c>
      <c r="H20" s="5" t="inlineStr">
        <is>
          <t>Binance(CEX)</t>
        </is>
      </c>
      <c r="I20">
        <f>IF($G20="BUY",D20,-D20)</f>
        <v/>
      </c>
      <c r="J20">
        <f>IF($G20="BUY",-E20,E20)</f>
        <v/>
      </c>
    </row>
    <row r="21">
      <c r="C21" s="7" t="n">
        <v>45054.02083333334</v>
      </c>
      <c r="D21" s="10" t="n">
        <v>351.161</v>
      </c>
      <c r="E21" s="10" t="n">
        <v>20</v>
      </c>
      <c r="F21" s="10">
        <f>E21/D21</f>
        <v/>
      </c>
      <c r="G21" s="10" t="inlineStr">
        <is>
          <t>BUY</t>
        </is>
      </c>
      <c r="H21" s="5" t="inlineStr">
        <is>
          <t>Binance(CEX)</t>
        </is>
      </c>
      <c r="I21">
        <f>IF($G21="BUY",D21,-D21)</f>
        <v/>
      </c>
      <c r="J21">
        <f>IF($G21="BUY",-E21,E21)</f>
        <v/>
      </c>
    </row>
    <row r="22">
      <c r="C22" s="7" t="n">
        <v>45056.78194444445</v>
      </c>
      <c r="D22" s="10" t="n">
        <v>365.953</v>
      </c>
      <c r="E22" s="10" t="n">
        <v>20</v>
      </c>
      <c r="F22" s="10">
        <f>E22/D22</f>
        <v/>
      </c>
      <c r="G22" s="10" t="inlineStr">
        <is>
          <t>BUY</t>
        </is>
      </c>
      <c r="H22" s="5" t="inlineStr">
        <is>
          <t>Binance(CEX)</t>
        </is>
      </c>
      <c r="I22">
        <f>IF($G22="BUY",D22,-D22)</f>
        <v/>
      </c>
      <c r="J22">
        <f>IF($G22="BUY",-E22,E22)</f>
        <v/>
      </c>
    </row>
    <row r="23">
      <c r="C23" s="7" t="n">
        <v>45084.89722222222</v>
      </c>
      <c r="D23" s="10" t="n">
        <v>411.0921</v>
      </c>
      <c r="E23" s="10" t="n">
        <v>20</v>
      </c>
      <c r="F23" s="10">
        <f>E23/D23</f>
        <v/>
      </c>
      <c r="G23" s="10" t="inlineStr">
        <is>
          <t>BUY</t>
        </is>
      </c>
      <c r="H23" s="5" t="inlineStr">
        <is>
          <t>Binance(CEX)</t>
        </is>
      </c>
      <c r="I23">
        <f>IF($G23="BUY",D23,-D23)</f>
        <v/>
      </c>
      <c r="J23">
        <f>IF($G23="BUY",-E23,E23)</f>
        <v/>
      </c>
    </row>
  </sheetData>
  <mergeCells count="1">
    <mergeCell ref="C2:G2"/>
  </mergeCell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C7:H11"/>
  <sheetViews>
    <sheetView workbookViewId="0">
      <selection activeCell="F17" sqref="F17"/>
    </sheetView>
  </sheetViews>
  <sheetFormatPr baseColWidth="8" defaultRowHeight="14.4"/>
  <cols>
    <col width="15.5546875" bestFit="1" customWidth="1" style="6" min="3" max="3"/>
    <col width="12" bestFit="1" customWidth="1" style="6" min="4" max="4"/>
    <col width="11" bestFit="1" customWidth="1" style="6" min="5" max="5"/>
    <col width="12" bestFit="1" customWidth="1" style="6" min="6" max="6"/>
    <col width="11.6640625" bestFit="1" customWidth="1" style="6" min="8" max="8"/>
  </cols>
  <sheetData>
    <row r="7">
      <c r="C7" s="58" t="inlineStr">
        <is>
          <t>MANA</t>
        </is>
      </c>
    </row>
    <row r="8">
      <c r="C8" s="10" t="inlineStr">
        <is>
          <t>Date &amp; Time</t>
        </is>
      </c>
      <c r="D8" s="10" t="inlineStr">
        <is>
          <t>Ammount</t>
        </is>
      </c>
      <c r="E8" s="10" t="inlineStr">
        <is>
          <t>Cost(USD)</t>
        </is>
      </c>
      <c r="F8" s="10" t="inlineStr">
        <is>
          <t>Price(USD)</t>
        </is>
      </c>
      <c r="G8" s="10" t="inlineStr">
        <is>
          <t>Action</t>
        </is>
      </c>
      <c r="H8" s="10" t="inlineStr">
        <is>
          <t>Platform</t>
        </is>
      </c>
    </row>
    <row r="9">
      <c r="C9" s="10" t="inlineStr">
        <is>
          <t>??</t>
        </is>
      </c>
      <c r="D9" s="10" t="n">
        <v>11.36720578</v>
      </c>
      <c r="E9" s="10" t="n">
        <v>10</v>
      </c>
      <c r="F9" s="10">
        <f>E9/D9</f>
        <v/>
      </c>
      <c r="G9" s="10" t="inlineStr">
        <is>
          <t>BUY</t>
        </is>
      </c>
      <c r="H9" s="10" t="inlineStr">
        <is>
          <t>Binance(CEX)</t>
        </is>
      </c>
    </row>
    <row r="10">
      <c r="C10" s="36" t="n">
        <v>44934.93888888889</v>
      </c>
      <c r="D10" s="10" t="n">
        <v>11.36720578</v>
      </c>
      <c r="E10" s="10" t="n">
        <v>4.23773718</v>
      </c>
      <c r="F10" s="10">
        <f>E10/D10</f>
        <v/>
      </c>
      <c r="G10" s="10" t="inlineStr">
        <is>
          <t>SELL</t>
        </is>
      </c>
      <c r="H10" s="10" t="inlineStr">
        <is>
          <t>Binance(CEX)</t>
        </is>
      </c>
    </row>
    <row r="11">
      <c r="C11" s="36" t="n">
        <v>45157.96944444445</v>
      </c>
      <c r="D11" s="18" t="n">
        <v>13.7536993</v>
      </c>
      <c r="E11" s="59" t="n">
        <v>4.23</v>
      </c>
      <c r="F11" s="18">
        <f>E11/D11</f>
        <v/>
      </c>
      <c r="G11" s="59" t="inlineStr">
        <is>
          <t>BUY</t>
        </is>
      </c>
      <c r="H11" s="18" t="inlineStr">
        <is>
          <t>Binance(CEX)</t>
        </is>
      </c>
    </row>
  </sheetData>
  <mergeCells count="1">
    <mergeCell ref="C7:G7"/>
  </mergeCells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C4:H7"/>
  <sheetViews>
    <sheetView topLeftCell="A7" workbookViewId="0">
      <selection activeCell="C8" sqref="C8"/>
    </sheetView>
  </sheetViews>
  <sheetFormatPr baseColWidth="8" defaultRowHeight="14.4"/>
  <cols>
    <col width="14.44140625" bestFit="1" customWidth="1" style="6" min="3" max="3"/>
    <col width="11.6640625" bestFit="1" customWidth="1" style="6" min="8" max="8"/>
  </cols>
  <sheetData>
    <row r="4">
      <c r="C4" s="57" t="inlineStr">
        <is>
          <t>ATOM</t>
        </is>
      </c>
      <c r="D4" s="60" t="n"/>
      <c r="E4" s="60" t="n"/>
      <c r="F4" s="60" t="n"/>
      <c r="G4" s="60" t="n"/>
    </row>
    <row r="5">
      <c r="C5" s="10" t="inlineStr">
        <is>
          <t>Date &amp; Time</t>
        </is>
      </c>
      <c r="D5" s="10" t="inlineStr">
        <is>
          <t>Ammount</t>
        </is>
      </c>
      <c r="E5" s="10" t="inlineStr">
        <is>
          <t>Cost(USD)</t>
        </is>
      </c>
      <c r="F5" s="10" t="inlineStr">
        <is>
          <t>Price(USD)</t>
        </is>
      </c>
      <c r="G5" s="10" t="inlineStr">
        <is>
          <t>Action</t>
        </is>
      </c>
      <c r="H5" s="11" t="inlineStr">
        <is>
          <t>Platform</t>
        </is>
      </c>
    </row>
    <row r="6">
      <c r="C6" s="35" t="n">
        <v>45005.40625</v>
      </c>
      <c r="D6" t="n">
        <v>1.6666666</v>
      </c>
      <c r="E6" t="n">
        <v>20</v>
      </c>
      <c r="F6">
        <f>E6/D6</f>
        <v/>
      </c>
      <c r="G6" t="inlineStr">
        <is>
          <t>BUY</t>
        </is>
      </c>
      <c r="H6" s="5" t="inlineStr">
        <is>
          <t>Binance(CEX)</t>
        </is>
      </c>
    </row>
    <row r="7">
      <c r="C7" t="inlineStr">
        <is>
          <t>???</t>
        </is>
      </c>
      <c r="G7" t="inlineStr">
        <is>
          <t>SOLD ALL</t>
        </is>
      </c>
    </row>
  </sheetData>
  <mergeCells count="1">
    <mergeCell ref="C4:G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3:U17"/>
  <sheetViews>
    <sheetView workbookViewId="0">
      <selection activeCell="H17" sqref="H17"/>
    </sheetView>
  </sheetViews>
  <sheetFormatPr baseColWidth="8" defaultRowHeight="14.4"/>
  <cols>
    <col width="13.6640625" bestFit="1" customWidth="1" style="6" min="2" max="2"/>
    <col width="14.5546875" customWidth="1" style="6" min="13" max="13"/>
    <col width="20.6640625" bestFit="1" customWidth="1" style="6" min="16" max="16"/>
    <col width="31" customWidth="1" style="6" min="21" max="21"/>
  </cols>
  <sheetData>
    <row r="3">
      <c r="B3" s="57" t="inlineStr">
        <is>
          <t>BAT</t>
        </is>
      </c>
      <c r="C3" s="60" t="n"/>
      <c r="D3" s="60" t="n"/>
      <c r="E3" s="60" t="n"/>
      <c r="F3" s="60" t="n"/>
    </row>
    <row r="4">
      <c r="B4" s="10" t="inlineStr">
        <is>
          <t>Date &amp; Time</t>
        </is>
      </c>
      <c r="C4" s="10" t="inlineStr">
        <is>
          <t>Ammount</t>
        </is>
      </c>
      <c r="D4" s="10" t="inlineStr">
        <is>
          <t>Cost(USD)</t>
        </is>
      </c>
      <c r="E4" s="10" t="inlineStr">
        <is>
          <t>Price(USD)</t>
        </is>
      </c>
      <c r="F4" s="10" t="inlineStr">
        <is>
          <t>Action</t>
        </is>
      </c>
    </row>
    <row r="5">
      <c r="B5" s="7" t="n">
        <v>45083.90763888889</v>
      </c>
      <c r="C5" s="39" t="n">
        <v>96.98568299999999</v>
      </c>
      <c r="D5" s="10" t="n">
        <v>20</v>
      </c>
      <c r="E5" s="10">
        <f>D5/C5</f>
        <v/>
      </c>
      <c r="F5" s="10" t="inlineStr">
        <is>
          <t>BUY</t>
        </is>
      </c>
      <c r="H5">
        <f>IF($F5="BUY",C5,-C5)</f>
        <v/>
      </c>
      <c r="I5">
        <f>IF($F5="BUY",-D5,D5)</f>
        <v/>
      </c>
      <c r="K5" s="59" t="n"/>
      <c r="L5" s="59" t="n"/>
      <c r="M5" s="59" t="inlineStr">
        <is>
          <t>Amount(BAT,USD)</t>
        </is>
      </c>
      <c r="N5" s="59" t="inlineStr">
        <is>
          <t>BUY</t>
        </is>
      </c>
      <c r="O5" s="59" t="inlineStr">
        <is>
          <t>SELL</t>
        </is>
      </c>
      <c r="P5" s="59" t="inlineStr">
        <is>
          <t>SELL in case when money needed for an onother invesment and the BAT token rised above 0.3</t>
        </is>
      </c>
    </row>
    <row r="6">
      <c r="B6" s="7" t="n">
        <v>45142.86458333334</v>
      </c>
      <c r="C6" s="39" t="n">
        <v>96.98568299999999</v>
      </c>
      <c r="D6" t="n">
        <v>20.18</v>
      </c>
      <c r="E6" s="10">
        <f>D6/C6</f>
        <v/>
      </c>
      <c r="F6" t="inlineStr">
        <is>
          <t>SELL</t>
        </is>
      </c>
      <c r="K6" s="59" t="inlineStr">
        <is>
          <t>Strategy:</t>
        </is>
      </c>
      <c r="L6" s="59" t="n"/>
      <c r="M6" s="59" t="n"/>
      <c r="N6" s="59" t="n"/>
      <c r="O6" s="59" t="n"/>
    </row>
    <row r="7">
      <c r="K7" s="59" t="n"/>
      <c r="L7" s="59" t="inlineStr">
        <is>
          <t>Long term</t>
        </is>
      </c>
      <c r="M7" s="59" t="inlineStr">
        <is>
          <t>all,20</t>
        </is>
      </c>
      <c r="N7" s="59" t="n">
        <v>0.1</v>
      </c>
      <c r="O7" s="59" t="n">
        <v>2.5</v>
      </c>
    </row>
    <row r="16">
      <c r="K16" t="inlineStr">
        <is>
          <t>Ammount</t>
        </is>
      </c>
      <c r="L16" t="inlineStr">
        <is>
          <t>Invested</t>
        </is>
      </c>
      <c r="M16" t="inlineStr">
        <is>
          <t>avarage price</t>
        </is>
      </c>
    </row>
    <row r="17">
      <c r="K17">
        <f>SUM($H1:$H33)</f>
        <v/>
      </c>
      <c r="L17">
        <f>-SUM($I1:$I33)</f>
        <v/>
      </c>
      <c r="M17">
        <f>L17/K17</f>
        <v/>
      </c>
    </row>
  </sheetData>
  <mergeCells count="2">
    <mergeCell ref="P5:U5"/>
    <mergeCell ref="B3:F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3:M22"/>
  <sheetViews>
    <sheetView topLeftCell="B1" workbookViewId="0">
      <selection activeCell="N25" sqref="N25"/>
    </sheetView>
  </sheetViews>
  <sheetFormatPr baseColWidth="8" defaultRowHeight="14.4"/>
  <cols>
    <col width="21.5546875" bestFit="1" customWidth="1" style="6" min="2" max="2"/>
    <col width="10" bestFit="1" customWidth="1" style="6" min="4" max="4"/>
    <col width="12" bestFit="1" customWidth="1" style="6" min="5" max="5"/>
  </cols>
  <sheetData>
    <row r="3">
      <c r="B3" s="57" t="inlineStr">
        <is>
          <t>MOVR</t>
        </is>
      </c>
      <c r="C3" s="60" t="n"/>
      <c r="D3" s="60" t="n"/>
      <c r="E3" s="60" t="n"/>
      <c r="F3" s="60" t="n"/>
    </row>
    <row r="4">
      <c r="B4" s="10" t="inlineStr">
        <is>
          <t>Date &amp; Time</t>
        </is>
      </c>
      <c r="C4" s="10" t="inlineStr">
        <is>
          <t>Ammount</t>
        </is>
      </c>
      <c r="D4" s="10" t="inlineStr">
        <is>
          <t>Cost(USD)</t>
        </is>
      </c>
      <c r="E4" s="10" t="inlineStr">
        <is>
          <t>Price(USD)</t>
        </is>
      </c>
      <c r="F4" s="10" t="inlineStr">
        <is>
          <t>Action</t>
        </is>
      </c>
    </row>
    <row r="5">
      <c r="B5" s="7" t="n">
        <v>45030.93157407407</v>
      </c>
      <c r="C5" s="10" t="n">
        <v>2.31</v>
      </c>
      <c r="D5" s="10" t="n">
        <v>20</v>
      </c>
      <c r="E5" s="10">
        <f>D5/C5</f>
        <v/>
      </c>
      <c r="F5" s="10" t="inlineStr">
        <is>
          <t>BUY</t>
        </is>
      </c>
      <c r="H5">
        <f>IF($F5="BUY",C5,-C5)</f>
        <v/>
      </c>
      <c r="I5">
        <f>IF($F5="BUY",-D5,D5)</f>
        <v/>
      </c>
    </row>
    <row r="6">
      <c r="B6" s="7" t="n">
        <v>45032.4334375</v>
      </c>
      <c r="C6" s="10" t="n">
        <v>2.21973462</v>
      </c>
      <c r="D6" s="10" t="n">
        <v>20</v>
      </c>
      <c r="E6" s="10">
        <f>D6/C6</f>
        <v/>
      </c>
      <c r="F6" s="10" t="inlineStr">
        <is>
          <t>BUY</t>
        </is>
      </c>
      <c r="H6">
        <f>IF($F6="BUY",C6,-C6)</f>
        <v/>
      </c>
      <c r="I6">
        <f>IF($F6="BUY",-D6,D6)</f>
        <v/>
      </c>
    </row>
    <row r="7">
      <c r="B7" s="7" t="n">
        <v>45048.52916666667</v>
      </c>
      <c r="C7" s="10" t="n">
        <v>2.75834424</v>
      </c>
      <c r="D7" s="10" t="n">
        <v>20</v>
      </c>
      <c r="E7" s="10">
        <f>D7/C7</f>
        <v/>
      </c>
      <c r="F7" s="10" t="inlineStr">
        <is>
          <t>BUY</t>
        </is>
      </c>
      <c r="H7">
        <f>IF($F7="BUY",C7,-C7)</f>
        <v/>
      </c>
      <c r="I7">
        <f>IF($F7="BUY",-D7,D7)</f>
        <v/>
      </c>
    </row>
    <row r="8">
      <c r="B8" s="7" t="n">
        <v>45056.93472222222</v>
      </c>
      <c r="C8" s="10" t="n">
        <v>4.5331559</v>
      </c>
      <c r="D8" s="10" t="n">
        <v>30</v>
      </c>
      <c r="E8" s="10">
        <f>D8/C8</f>
        <v/>
      </c>
      <c r="F8" s="10" t="inlineStr">
        <is>
          <t>BUY</t>
        </is>
      </c>
      <c r="H8">
        <f>IF($F8="BUY",C8,-C8)</f>
        <v/>
      </c>
      <c r="I8">
        <f>IF($F8="BUY",-D8,D8)</f>
        <v/>
      </c>
    </row>
    <row r="9">
      <c r="B9" s="7" t="n">
        <v>45092.80833333333</v>
      </c>
      <c r="C9" s="10" t="n">
        <v>4.294</v>
      </c>
      <c r="D9" s="10" t="n">
        <v>20</v>
      </c>
      <c r="E9" s="10">
        <f>D9/C9</f>
        <v/>
      </c>
      <c r="F9" s="10" t="inlineStr">
        <is>
          <t>BUY</t>
        </is>
      </c>
      <c r="H9">
        <f>IF($F9="BUY",C9,-C9)</f>
        <v/>
      </c>
      <c r="I9">
        <f>IF($F9="BUY",-D9,D9)</f>
        <v/>
      </c>
    </row>
    <row r="10">
      <c r="B10" s="7" t="n">
        <v>45154.98194444444</v>
      </c>
      <c r="C10" s="10" t="n">
        <v>3.6555</v>
      </c>
      <c r="D10" s="10" t="n">
        <v>20</v>
      </c>
      <c r="E10" s="10">
        <f>D10/C10</f>
        <v/>
      </c>
      <c r="F10" s="10" t="inlineStr">
        <is>
          <t>SELL</t>
        </is>
      </c>
      <c r="H10">
        <f>IF($F10="BUY",C10,-C10)</f>
        <v/>
      </c>
      <c r="I10">
        <f>IF($F10="BUY",-D10,D10)</f>
        <v/>
      </c>
    </row>
    <row r="11">
      <c r="B11" s="7" t="n">
        <v>45156.34930555556</v>
      </c>
      <c r="C11" s="10" t="n">
        <v>4.3943</v>
      </c>
      <c r="D11" s="10" t="n">
        <v>20</v>
      </c>
      <c r="E11" s="10">
        <f>D11/C11</f>
        <v/>
      </c>
      <c r="F11" s="10" t="inlineStr">
        <is>
          <t>BUY</t>
        </is>
      </c>
      <c r="H11">
        <f>IF($F11="BUY",C11,-C11)</f>
        <v/>
      </c>
      <c r="I11">
        <f>IF($F11="BUY",-D11,D11)</f>
        <v/>
      </c>
    </row>
    <row r="12">
      <c r="B12" s="7" t="n">
        <v>45186.96936342592</v>
      </c>
      <c r="C12" s="10" t="n">
        <v>5.06531</v>
      </c>
      <c r="D12" s="10" t="n">
        <v>20</v>
      </c>
      <c r="E12" s="10">
        <f>D12/C12</f>
        <v/>
      </c>
      <c r="F12" s="10" t="inlineStr">
        <is>
          <t>BUY</t>
        </is>
      </c>
      <c r="H12">
        <f>IF($F12="BUY",C12,-C12)</f>
        <v/>
      </c>
      <c r="I12">
        <f>IF($F12="BUY",-D12,D12)</f>
        <v/>
      </c>
    </row>
    <row r="13">
      <c r="B13" s="7" t="n">
        <v>45251.76666666667</v>
      </c>
      <c r="C13" s="10" t="n">
        <v>10.5</v>
      </c>
      <c r="D13" s="10" t="n">
        <v>82.31610000000001</v>
      </c>
      <c r="E13" s="10">
        <f>D13/C13</f>
        <v/>
      </c>
      <c r="F13" s="10" t="inlineStr">
        <is>
          <t>SELL</t>
        </is>
      </c>
      <c r="H13">
        <f>IF($F13="BUY",C13,-C13)</f>
        <v/>
      </c>
      <c r="I13">
        <f>IF($F13="BUY",-D13,D13)</f>
        <v/>
      </c>
    </row>
    <row r="14">
      <c r="B14" s="7" t="n">
        <v>45252.83055555556</v>
      </c>
      <c r="C14" s="10" t="n">
        <v>12.31265</v>
      </c>
      <c r="D14" s="10" t="n">
        <v>82.31610000000001</v>
      </c>
      <c r="E14" s="10">
        <f>D14/C14</f>
        <v/>
      </c>
      <c r="F14" s="10" t="inlineStr">
        <is>
          <t>BUY</t>
        </is>
      </c>
      <c r="H14">
        <f>IF($F14="BUY",C14,-C14)</f>
        <v/>
      </c>
      <c r="I14">
        <f>IF($F14="BUY",-D14,D14)</f>
        <v/>
      </c>
    </row>
    <row r="15">
      <c r="B15" s="7" t="n">
        <v>45283.61736111111</v>
      </c>
      <c r="C15" s="10" t="n">
        <v>7.263</v>
      </c>
      <c r="D15" s="10" t="n">
        <v>102.233988</v>
      </c>
      <c r="E15" s="10">
        <f>D15/C15</f>
        <v/>
      </c>
      <c r="F15" s="10" t="inlineStr">
        <is>
          <t>SELL</t>
        </is>
      </c>
      <c r="H15">
        <f>IF($F15="BUY",C15,-C15)</f>
        <v/>
      </c>
      <c r="I15">
        <f>IF($F15="BUY",-D15,D15)</f>
        <v/>
      </c>
      <c r="K15" t="inlineStr">
        <is>
          <t>Ammount</t>
        </is>
      </c>
      <c r="L15" t="inlineStr">
        <is>
          <t>Invested</t>
        </is>
      </c>
      <c r="M15" t="inlineStr">
        <is>
          <t>avarage price</t>
        </is>
      </c>
    </row>
    <row r="16">
      <c r="B16" s="7" t="n">
        <v>45283.61805555555</v>
      </c>
      <c r="C16" s="10" t="n">
        <v>2.737</v>
      </c>
      <c r="D16" s="10" t="n">
        <v>38.526012</v>
      </c>
      <c r="E16" s="10">
        <f>D16/C16</f>
        <v/>
      </c>
      <c r="F16" s="10" t="inlineStr">
        <is>
          <t>SELL</t>
        </is>
      </c>
      <c r="H16">
        <f>IF($F16="BUY",C16,-C16)</f>
        <v/>
      </c>
      <c r="I16">
        <f>IF($F16="BUY",-D16,D16)</f>
        <v/>
      </c>
      <c r="K16">
        <f>SUM($H1:$H32)</f>
        <v/>
      </c>
      <c r="L16">
        <f>-SUM($I1:$I32)</f>
        <v/>
      </c>
      <c r="M16">
        <f>L16/K16</f>
        <v/>
      </c>
    </row>
    <row r="17">
      <c r="B17" s="7" t="n">
        <v>45284.06180555555</v>
      </c>
      <c r="C17" s="10" t="n">
        <v>0.174</v>
      </c>
      <c r="D17" s="10" t="n">
        <v>4.234116</v>
      </c>
      <c r="E17" s="10">
        <f>D17/C17</f>
        <v/>
      </c>
      <c r="F17" s="10" t="inlineStr">
        <is>
          <t>SELL</t>
        </is>
      </c>
      <c r="H17">
        <f>IF($F17="BUY",C17,-C17)</f>
        <v/>
      </c>
      <c r="I17">
        <f>IF($F17="BUY",-D17,D17)</f>
        <v/>
      </c>
    </row>
    <row r="18">
      <c r="B18" s="7" t="n">
        <v>45284.06180555555</v>
      </c>
      <c r="C18" s="10" t="n">
        <v>2.924</v>
      </c>
      <c r="D18" s="10" t="n">
        <v>71.15261599999999</v>
      </c>
      <c r="E18" s="10">
        <f>D18/C18</f>
        <v/>
      </c>
      <c r="F18" s="10" t="inlineStr">
        <is>
          <t>SELL</t>
        </is>
      </c>
      <c r="H18">
        <f>IF($F18="BUY",C18,-C18)</f>
        <v/>
      </c>
      <c r="I18">
        <f>IF($F18="BUY",-D18,D18)</f>
        <v/>
      </c>
    </row>
    <row r="19">
      <c r="B19" s="7" t="n">
        <v>45284.06180555555</v>
      </c>
      <c r="C19" s="10" t="n">
        <v>2.902</v>
      </c>
      <c r="D19" s="10" t="n">
        <v>70.61</v>
      </c>
      <c r="E19" s="10">
        <f>D19/C19</f>
        <v/>
      </c>
      <c r="F19" s="10" t="inlineStr">
        <is>
          <t>SELL</t>
        </is>
      </c>
      <c r="H19">
        <f>IF($F19="BUY",C19,-C19)</f>
        <v/>
      </c>
      <c r="I19">
        <f>IF($F19="BUY",-D19,D19)</f>
        <v/>
      </c>
    </row>
    <row r="20">
      <c r="B20" s="7" t="n">
        <v>45284.5125</v>
      </c>
      <c r="C20" s="10" t="n">
        <v>2.614</v>
      </c>
      <c r="D20" s="10" t="n">
        <v>100.57365</v>
      </c>
      <c r="E20" s="10">
        <f>D20/C20</f>
        <v/>
      </c>
      <c r="F20" s="10" t="inlineStr">
        <is>
          <t>SELL</t>
        </is>
      </c>
      <c r="H20">
        <f>IF($F20="BUY",C20,-C20)</f>
        <v/>
      </c>
      <c r="I20">
        <f>IF($F20="BUY",-D20,D20)</f>
        <v/>
      </c>
    </row>
    <row r="21">
      <c r="B21" s="7" t="n">
        <v>45284.5125</v>
      </c>
      <c r="C21" s="10" t="n">
        <v>4.439</v>
      </c>
      <c r="D21" s="10" t="n">
        <v>170.914817</v>
      </c>
      <c r="E21" s="10">
        <f>D21/C21</f>
        <v/>
      </c>
      <c r="F21" s="10" t="inlineStr">
        <is>
          <t>SELL</t>
        </is>
      </c>
      <c r="H21">
        <f>IF($F21="BUY",C21,-C21)</f>
        <v/>
      </c>
      <c r="I21">
        <f>IF($F21="BUY",-D21,D21)</f>
        <v/>
      </c>
    </row>
    <row r="22">
      <c r="B22" s="7" t="n">
        <v>45284.5125</v>
      </c>
      <c r="C22" s="10" t="n">
        <v>0.667</v>
      </c>
      <c r="D22" s="10" t="n">
        <v>25.68</v>
      </c>
      <c r="E22" s="10">
        <f>D22/C22</f>
        <v/>
      </c>
      <c r="F22" s="10" t="inlineStr">
        <is>
          <t>SELL</t>
        </is>
      </c>
      <c r="H22">
        <f>IF($F22="BUY",C22,-C22)</f>
        <v/>
      </c>
      <c r="I22">
        <f>IF($F22="BUY",-D22,D22)</f>
        <v/>
      </c>
    </row>
  </sheetData>
  <mergeCells count="1">
    <mergeCell ref="B3:F3"/>
  </mergeCells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3:M16"/>
  <sheetViews>
    <sheetView zoomScale="130" zoomScaleNormal="130" workbookViewId="0">
      <selection activeCell="H18" sqref="H18"/>
    </sheetView>
  </sheetViews>
  <sheetFormatPr baseColWidth="8" defaultRowHeight="14.4"/>
  <cols>
    <col width="16.33203125" bestFit="1" customWidth="1" style="6" min="2" max="2"/>
    <col width="6.21875" bestFit="1" customWidth="1" style="6" min="6" max="6"/>
    <col width="11.6640625" bestFit="1" customWidth="1" style="6" min="7" max="7"/>
  </cols>
  <sheetData>
    <row r="3">
      <c r="B3" s="57" t="inlineStr">
        <is>
          <t>ICP</t>
        </is>
      </c>
      <c r="C3" s="60" t="n"/>
      <c r="D3" s="60" t="n"/>
      <c r="E3" s="60" t="n"/>
      <c r="F3" s="60" t="n"/>
    </row>
    <row r="4">
      <c r="B4" s="10" t="inlineStr">
        <is>
          <t>Date &amp; Time</t>
        </is>
      </c>
      <c r="C4" s="10" t="inlineStr">
        <is>
          <t>Ammount</t>
        </is>
      </c>
      <c r="D4" s="10" t="inlineStr">
        <is>
          <t>Cost(USD)</t>
        </is>
      </c>
      <c r="E4" s="10" t="inlineStr">
        <is>
          <t>Price(USD)</t>
        </is>
      </c>
      <c r="F4" s="10" t="inlineStr">
        <is>
          <t>Action</t>
        </is>
      </c>
      <c r="G4" s="10" t="inlineStr">
        <is>
          <t>Platform</t>
        </is>
      </c>
    </row>
    <row r="5">
      <c r="B5" s="7" t="n">
        <v>45223.64583333334</v>
      </c>
      <c r="C5" s="10" t="n">
        <v>13.78772238</v>
      </c>
      <c r="D5" s="10" t="n">
        <v>50</v>
      </c>
      <c r="E5" s="10">
        <f>D5/C5</f>
        <v/>
      </c>
      <c r="F5" s="10" t="inlineStr">
        <is>
          <t>BUY</t>
        </is>
      </c>
      <c r="G5" s="10" t="inlineStr">
        <is>
          <t>Binance(CEX)</t>
        </is>
      </c>
      <c r="H5">
        <f>IF($F5="BUY",C5,-C5)</f>
        <v/>
      </c>
      <c r="I5">
        <f>IF($F5="BUY",-D5,D5)</f>
        <v/>
      </c>
    </row>
    <row r="6">
      <c r="B6" s="7" t="n">
        <v>45264.50208333333</v>
      </c>
      <c r="C6" s="10" t="n">
        <v>13.78772238</v>
      </c>
      <c r="D6" s="10" t="n">
        <v>70.28</v>
      </c>
      <c r="E6" s="10">
        <f>D6/C6</f>
        <v/>
      </c>
      <c r="F6" s="10" t="inlineStr">
        <is>
          <t>SELL</t>
        </is>
      </c>
      <c r="G6" s="10" t="inlineStr">
        <is>
          <t>Binance(CEX)</t>
        </is>
      </c>
      <c r="H6">
        <f>IF($F6="BUY",C6,-C6)</f>
        <v/>
      </c>
      <c r="I6">
        <f>IF($F6="BUY",-D6,D6)</f>
        <v/>
      </c>
    </row>
    <row r="7">
      <c r="B7" s="7" t="n">
        <v>45264.86666666667</v>
      </c>
      <c r="C7" s="10" t="n">
        <v>14.17129685</v>
      </c>
      <c r="D7" s="10" t="n">
        <v>70.28</v>
      </c>
      <c r="E7" s="10">
        <f>D7/C7</f>
        <v/>
      </c>
      <c r="F7" s="10" t="inlineStr">
        <is>
          <t>BUY</t>
        </is>
      </c>
      <c r="G7" s="10" t="inlineStr">
        <is>
          <t>Binance(CEX)</t>
        </is>
      </c>
      <c r="H7">
        <f>IF($F7="BUY",C7,-C7)</f>
        <v/>
      </c>
      <c r="I7">
        <f>IF($F7="BUY",-D7,D7)</f>
        <v/>
      </c>
    </row>
    <row r="8">
      <c r="B8" s="7" t="n">
        <v>45276.43680555555</v>
      </c>
      <c r="C8" s="10" t="n">
        <v>14.17129685</v>
      </c>
      <c r="D8" s="10" t="n">
        <v>125.57</v>
      </c>
      <c r="E8" s="10">
        <f>D8/C8</f>
        <v/>
      </c>
      <c r="F8" s="10" t="inlineStr">
        <is>
          <t>SELL</t>
        </is>
      </c>
      <c r="G8" s="10" t="inlineStr">
        <is>
          <t>Binance(CEX)</t>
        </is>
      </c>
      <c r="H8">
        <f>IF($F8="BUY",C8,-C8)</f>
        <v/>
      </c>
      <c r="I8">
        <f>IF($F8="BUY",-D8,D8)</f>
        <v/>
      </c>
    </row>
    <row r="9">
      <c r="B9" s="7" t="n">
        <v>45461.86111111111</v>
      </c>
      <c r="C9" s="10" t="n">
        <v>15.91</v>
      </c>
      <c r="D9" s="10" t="n">
        <v>125.57</v>
      </c>
      <c r="E9" s="10">
        <f>D9/C9</f>
        <v/>
      </c>
      <c r="F9" s="37" t="inlineStr">
        <is>
          <t>BUY</t>
        </is>
      </c>
      <c r="G9" s="10" t="inlineStr">
        <is>
          <t>Binance(CEX)</t>
        </is>
      </c>
      <c r="H9">
        <f>IF($F9="BUY",C9,-C9)</f>
        <v/>
      </c>
      <c r="I9">
        <f>IF($F9="BUY",-D9,D9)</f>
        <v/>
      </c>
    </row>
    <row r="10">
      <c r="B10" s="7" t="n"/>
      <c r="C10" s="46" t="n"/>
      <c r="D10" s="10" t="n"/>
      <c r="E10" s="10" t="n"/>
      <c r="F10" s="10" t="n"/>
    </row>
    <row r="11">
      <c r="B11" s="7" t="n"/>
      <c r="C11" s="10" t="n"/>
      <c r="D11" s="10" t="n"/>
      <c r="E11" s="10" t="n"/>
      <c r="F11" s="10" t="n"/>
    </row>
    <row r="12">
      <c r="B12" s="7" t="n"/>
      <c r="C12" s="10" t="n"/>
      <c r="D12" s="10" t="n"/>
      <c r="E12" s="10" t="n"/>
      <c r="F12" s="10" t="n"/>
    </row>
    <row r="13">
      <c r="B13" s="7" t="n"/>
      <c r="C13" s="10" t="n"/>
      <c r="D13" s="10" t="n"/>
      <c r="E13" s="10" t="n"/>
      <c r="F13" s="10" t="n"/>
    </row>
    <row r="14">
      <c r="B14" s="7" t="n"/>
      <c r="C14" s="10" t="n"/>
      <c r="D14" s="10" t="n"/>
      <c r="E14" s="10" t="n"/>
      <c r="F14" s="10" t="n"/>
    </row>
    <row r="15">
      <c r="B15" s="7" t="n"/>
      <c r="C15" s="10" t="n"/>
      <c r="D15" s="10" t="n"/>
      <c r="E15" s="10" t="n"/>
      <c r="F15" s="10" t="n"/>
      <c r="K15" t="inlineStr">
        <is>
          <t>Ammount</t>
        </is>
      </c>
      <c r="L15" t="inlineStr">
        <is>
          <t>Invested</t>
        </is>
      </c>
      <c r="M15" t="inlineStr">
        <is>
          <t>avarage price</t>
        </is>
      </c>
    </row>
    <row r="16">
      <c r="B16" s="7" t="n"/>
      <c r="C16" s="10" t="n"/>
      <c r="D16" s="10" t="n"/>
      <c r="E16" s="10" t="n"/>
      <c r="F16" s="10" t="n"/>
      <c r="K16">
        <f>SUM($H1:$H32)</f>
        <v/>
      </c>
      <c r="L16">
        <f>-SUM($I1:$I32)</f>
        <v/>
      </c>
      <c r="M16">
        <f>L16/K16</f>
        <v/>
      </c>
    </row>
  </sheetData>
  <mergeCells count="1">
    <mergeCell ref="B3:F3"/>
  </mergeCells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3:N44"/>
  <sheetViews>
    <sheetView topLeftCell="A19" zoomScaleNormal="100" workbookViewId="0">
      <selection activeCell="F48" sqref="F48"/>
    </sheetView>
  </sheetViews>
  <sheetFormatPr baseColWidth="8" defaultRowHeight="14.4"/>
  <cols>
    <col width="16.21875" bestFit="1" customWidth="1" style="6" min="2" max="2"/>
    <col width="11.33203125" bestFit="1" customWidth="1" style="6" min="3" max="3"/>
    <col width="9.21875" bestFit="1" customWidth="1" style="6" min="4" max="4"/>
    <col width="12.44140625" bestFit="1" customWidth="1" style="6" min="5" max="5"/>
    <col width="15" bestFit="1" customWidth="1" style="6" min="6" max="6"/>
    <col width="11.6640625" bestFit="1" customWidth="1" style="6" min="7" max="7"/>
    <col width="12" bestFit="1" customWidth="1" style="6" min="8" max="8"/>
  </cols>
  <sheetData>
    <row r="3">
      <c r="B3" s="57" t="inlineStr">
        <is>
          <t>FIL</t>
        </is>
      </c>
      <c r="C3" s="60" t="n"/>
      <c r="D3" s="60" t="n"/>
      <c r="E3" s="60" t="n"/>
      <c r="F3" s="60" t="n"/>
    </row>
    <row r="4">
      <c r="B4" s="10" t="inlineStr">
        <is>
          <t>Date &amp; Time</t>
        </is>
      </c>
      <c r="C4" s="10" t="inlineStr">
        <is>
          <t>Ammount</t>
        </is>
      </c>
      <c r="D4" s="10" t="inlineStr">
        <is>
          <t>Cost(USD)</t>
        </is>
      </c>
      <c r="E4" s="10" t="inlineStr">
        <is>
          <t>Price(USD)</t>
        </is>
      </c>
      <c r="F4" s="10" t="inlineStr">
        <is>
          <t>Action</t>
        </is>
      </c>
      <c r="G4" s="11" t="inlineStr">
        <is>
          <t>Platform</t>
        </is>
      </c>
    </row>
    <row r="5">
      <c r="B5" s="7" t="inlineStr">
        <is>
          <t>????</t>
        </is>
      </c>
      <c r="C5" s="10" t="n">
        <v>1.622</v>
      </c>
      <c r="D5" s="10" t="n">
        <v>10</v>
      </c>
      <c r="E5" s="10">
        <f>D5/C5</f>
        <v/>
      </c>
      <c r="F5" s="10" t="inlineStr">
        <is>
          <t>BUY</t>
        </is>
      </c>
      <c r="G5" s="5" t="inlineStr">
        <is>
          <t>Binance(CEX)</t>
        </is>
      </c>
      <c r="H5">
        <f>IF($F5="BUY",C5,-C5)</f>
        <v/>
      </c>
      <c r="I5">
        <f>IF($F5="BUY",-D5,D5)</f>
        <v/>
      </c>
    </row>
    <row r="6">
      <c r="B6" s="7" t="n">
        <v>44873.90069444444</v>
      </c>
      <c r="C6" s="10" t="n">
        <v>1.116</v>
      </c>
      <c r="D6" s="10" t="n">
        <v>5</v>
      </c>
      <c r="E6" s="10">
        <f>D6/C6</f>
        <v/>
      </c>
      <c r="F6" s="10" t="inlineStr">
        <is>
          <t>BUY</t>
        </is>
      </c>
      <c r="G6" s="5" t="inlineStr">
        <is>
          <t>Binance(CEX)</t>
        </is>
      </c>
      <c r="H6">
        <f>IF($F6="BUY",C6,-C6)</f>
        <v/>
      </c>
      <c r="I6">
        <f>IF($F6="BUY",-D6,D6)</f>
        <v/>
      </c>
    </row>
    <row r="7">
      <c r="B7" s="7" t="n">
        <v>44874.35069444445</v>
      </c>
      <c r="C7" s="10" t="n">
        <v>1.071</v>
      </c>
      <c r="D7" s="10" t="n">
        <v>5</v>
      </c>
      <c r="E7" s="10">
        <f>D7/C7</f>
        <v/>
      </c>
      <c r="F7" s="10" t="inlineStr">
        <is>
          <t>SELL</t>
        </is>
      </c>
      <c r="G7" s="5" t="inlineStr">
        <is>
          <t>Binance(CEX)</t>
        </is>
      </c>
      <c r="H7">
        <f>IF($F7="BUY",C7,-C7)</f>
        <v/>
      </c>
      <c r="I7">
        <f>IF($F7="BUY",-D7,D7)</f>
        <v/>
      </c>
    </row>
    <row r="8">
      <c r="B8" s="7" t="n">
        <v>44874.51875</v>
      </c>
      <c r="C8" s="10" t="n">
        <v>0.571</v>
      </c>
      <c r="D8" s="10" t="n">
        <v>2.5</v>
      </c>
      <c r="E8" s="10">
        <f>D8/C8</f>
        <v/>
      </c>
      <c r="F8" s="10" t="inlineStr">
        <is>
          <t>BUY</t>
        </is>
      </c>
      <c r="G8" s="5" t="inlineStr">
        <is>
          <t>Binance(CEX)</t>
        </is>
      </c>
      <c r="H8">
        <f>IF($F8="BUY",C8,-C8)</f>
        <v/>
      </c>
      <c r="I8">
        <f>IF($F8="BUY",-D8,D8)</f>
        <v/>
      </c>
      <c r="L8" t="inlineStr">
        <is>
          <t>Ammount</t>
        </is>
      </c>
      <c r="M8" t="inlineStr">
        <is>
          <t>Invested</t>
        </is>
      </c>
      <c r="N8" t="inlineStr">
        <is>
          <t>avarage price</t>
        </is>
      </c>
    </row>
    <row r="9">
      <c r="B9" s="7" t="n">
        <v>44875.03958333333</v>
      </c>
      <c r="C9" s="10" t="n">
        <v>2.4</v>
      </c>
      <c r="D9" s="10" t="n">
        <v>10</v>
      </c>
      <c r="E9" s="10">
        <f>D9/C9</f>
        <v/>
      </c>
      <c r="F9" s="10" t="inlineStr">
        <is>
          <t>BUY</t>
        </is>
      </c>
      <c r="G9" s="5" t="inlineStr">
        <is>
          <t>Binance(CEX)</t>
        </is>
      </c>
      <c r="H9">
        <f>IF($F9="BUY",C9,-C9)</f>
        <v/>
      </c>
      <c r="I9">
        <f>IF($F9="BUY",-D9,D9)</f>
        <v/>
      </c>
      <c r="L9">
        <f>SUM($H$5:$H50)</f>
        <v/>
      </c>
      <c r="M9">
        <f>-SUM(I5:I50)</f>
        <v/>
      </c>
      <c r="N9">
        <f>M9/L9</f>
        <v/>
      </c>
    </row>
    <row r="10">
      <c r="B10" s="7" t="n">
        <v>44875.59930555556</v>
      </c>
      <c r="C10" s="10" t="n">
        <v>0.582</v>
      </c>
      <c r="D10" s="10" t="n">
        <v>2.5</v>
      </c>
      <c r="E10" s="10">
        <f>D10/C10</f>
        <v/>
      </c>
      <c r="F10" s="10" t="inlineStr">
        <is>
          <t>BUY</t>
        </is>
      </c>
      <c r="G10" s="5" t="inlineStr">
        <is>
          <t>Binance(CEX)</t>
        </is>
      </c>
      <c r="H10">
        <f>IF($F10="BUY",C10,-C10)</f>
        <v/>
      </c>
      <c r="I10">
        <f>IF($F10="BUY",-D10,D10)</f>
        <v/>
      </c>
    </row>
    <row r="11">
      <c r="B11" s="7" t="n">
        <v>44879.94930555556</v>
      </c>
      <c r="C11" s="10" t="n">
        <v>0.586</v>
      </c>
      <c r="D11" s="10" t="n">
        <v>2.5</v>
      </c>
      <c r="E11" s="10">
        <f>D11/C11</f>
        <v/>
      </c>
      <c r="F11" s="10" t="inlineStr">
        <is>
          <t>BUY</t>
        </is>
      </c>
      <c r="G11" s="5" t="inlineStr">
        <is>
          <t>Binance(CEX)</t>
        </is>
      </c>
      <c r="H11">
        <f>IF($F11="BUY",C11,-C11)</f>
        <v/>
      </c>
      <c r="I11">
        <f>IF($F11="BUY",-D11,D11)</f>
        <v/>
      </c>
    </row>
    <row r="12">
      <c r="B12" s="7" t="n">
        <v>44886.87986111111</v>
      </c>
      <c r="C12" s="10" t="n">
        <v>3.804</v>
      </c>
      <c r="D12" s="10" t="n">
        <v>0</v>
      </c>
      <c r="E12" s="10">
        <f>D12/C12</f>
        <v/>
      </c>
      <c r="F12" s="10" t="inlineStr">
        <is>
          <t>ACCUMULATION</t>
        </is>
      </c>
      <c r="G12" s="5" t="inlineStr">
        <is>
          <t>Binance(CEX)</t>
        </is>
      </c>
      <c r="H12" t="n">
        <v>0</v>
      </c>
      <c r="I12">
        <f>IF($F12="BUY",-D12,D12)</f>
        <v/>
      </c>
    </row>
    <row r="13">
      <c r="B13" s="7" t="n">
        <v>44886.92847222222</v>
      </c>
      <c r="C13" s="10" t="n">
        <v>1.207</v>
      </c>
      <c r="D13" s="10" t="n">
        <v>5</v>
      </c>
      <c r="E13" s="10">
        <f>D13/C13</f>
        <v/>
      </c>
      <c r="F13" s="10" t="inlineStr">
        <is>
          <t>BUY</t>
        </is>
      </c>
      <c r="G13" s="5" t="inlineStr">
        <is>
          <t>Binance(CEX)</t>
        </is>
      </c>
      <c r="H13">
        <f>IF($F13="BUY",C13,-C13)</f>
        <v/>
      </c>
      <c r="I13">
        <f>IF($F13="BUY",-D13,D13)</f>
        <v/>
      </c>
    </row>
    <row r="14">
      <c r="B14" s="7" t="n">
        <v>44911.63888888889</v>
      </c>
      <c r="C14" s="10" t="n">
        <v>1.286</v>
      </c>
      <c r="D14" s="10" t="n">
        <v>5</v>
      </c>
      <c r="E14" s="10">
        <f>D14/C14</f>
        <v/>
      </c>
      <c r="F14" s="10" t="inlineStr">
        <is>
          <t>BUY</t>
        </is>
      </c>
      <c r="G14" s="5" t="inlineStr">
        <is>
          <t>Binance(CEX)</t>
        </is>
      </c>
      <c r="H14">
        <f>IF($F14="BUY",C14,-C14)</f>
        <v/>
      </c>
      <c r="I14">
        <f>IF($F14="BUY",-D14,D14)</f>
        <v/>
      </c>
    </row>
    <row r="15">
      <c r="B15" s="27" t="n">
        <v>44912.03055555555</v>
      </c>
      <c r="C15" s="26" t="n">
        <v>3.647</v>
      </c>
      <c r="D15" s="26" t="n">
        <v>10</v>
      </c>
      <c r="E15" s="26">
        <f>D15/C15</f>
        <v/>
      </c>
      <c r="F15" s="26" t="inlineStr">
        <is>
          <t>BUY</t>
        </is>
      </c>
      <c r="G15" s="5" t="inlineStr">
        <is>
          <t>Binance(CEX)</t>
        </is>
      </c>
      <c r="H15">
        <f>IF($F15="BUY",C15,-C15)</f>
        <v/>
      </c>
      <c r="I15">
        <f>IF($F15="BUY",-D15,D15)</f>
        <v/>
      </c>
    </row>
    <row r="16">
      <c r="A16" s="30" t="n"/>
      <c r="B16" s="31" t="n">
        <v>44912.03274305556</v>
      </c>
      <c r="C16" s="32" t="n">
        <v>2.5091</v>
      </c>
      <c r="D16" s="32" t="n">
        <v>7.01268</v>
      </c>
      <c r="E16" s="32">
        <f>D16/C16</f>
        <v/>
      </c>
      <c r="F16" s="32" t="inlineStr">
        <is>
          <t>BUY</t>
        </is>
      </c>
      <c r="G16" s="30" t="inlineStr">
        <is>
          <t>BitGet(CEX)</t>
        </is>
      </c>
      <c r="H16">
        <f>IF($F16="BUY",C16,-C16)</f>
        <v/>
      </c>
      <c r="I16">
        <f>IF($F16="BUY",-D16,D16)</f>
        <v/>
      </c>
    </row>
    <row r="17">
      <c r="B17" s="27" t="n">
        <v>44912.03611111111</v>
      </c>
      <c r="C17" s="26" t="n">
        <v>1.715</v>
      </c>
      <c r="D17" s="26" t="n">
        <v>5</v>
      </c>
      <c r="E17" s="26">
        <f>D17/C17</f>
        <v/>
      </c>
      <c r="F17" s="26" t="inlineStr">
        <is>
          <t>BUY</t>
        </is>
      </c>
      <c r="G17" s="5" t="inlineStr">
        <is>
          <t>Binance(CEX)</t>
        </is>
      </c>
      <c r="H17">
        <f>IF($F17="BUY",C17,-C17)</f>
        <v/>
      </c>
      <c r="I17">
        <f>IF($F17="BUY",-D17,D17)</f>
        <v/>
      </c>
    </row>
    <row r="18">
      <c r="B18" s="27" t="n">
        <v>44912.04791666667</v>
      </c>
      <c r="C18" s="26" t="n">
        <v>3.356</v>
      </c>
      <c r="D18" s="26" t="n">
        <v>10</v>
      </c>
      <c r="E18" s="26">
        <f>D18/C18</f>
        <v/>
      </c>
      <c r="F18" s="26" t="inlineStr">
        <is>
          <t>BUY</t>
        </is>
      </c>
      <c r="G18" s="5" t="inlineStr">
        <is>
          <t>Binance(CEX)</t>
        </is>
      </c>
      <c r="H18">
        <f>IF($F18="BUY",C18,-C18)</f>
        <v/>
      </c>
      <c r="I18">
        <f>IF($F18="BUY",-D18,D18)</f>
        <v/>
      </c>
    </row>
    <row r="19">
      <c r="B19" s="28" t="n">
        <v>44914.05347222222</v>
      </c>
      <c r="C19" s="29" t="n">
        <v>1.62912</v>
      </c>
      <c r="D19" s="29" t="n">
        <v>5</v>
      </c>
      <c r="E19" s="29">
        <f>D19/C19</f>
        <v/>
      </c>
      <c r="F19" s="29" t="inlineStr">
        <is>
          <t>SELL</t>
        </is>
      </c>
      <c r="G19" s="5" t="inlineStr">
        <is>
          <t>Binance(CEX)</t>
        </is>
      </c>
      <c r="H19">
        <f>IF($F19="BUY",C19,-C19)</f>
        <v/>
      </c>
      <c r="I19">
        <f>IF($F19="BUY",-D19,D19)</f>
        <v/>
      </c>
    </row>
    <row r="20">
      <c r="B20" s="28" t="n">
        <v>44922.50625</v>
      </c>
      <c r="C20" s="29" t="n">
        <v>3.06</v>
      </c>
      <c r="D20" s="29" t="n">
        <v>10.1</v>
      </c>
      <c r="E20" s="29">
        <f>D20/C20</f>
        <v/>
      </c>
      <c r="F20" s="29" t="inlineStr">
        <is>
          <t>SELL</t>
        </is>
      </c>
      <c r="G20" s="5" t="inlineStr">
        <is>
          <t>Binance(CEX)</t>
        </is>
      </c>
      <c r="H20">
        <f>IF($F20="BUY",C20,-C20)</f>
        <v/>
      </c>
      <c r="I20">
        <f>IF($F20="BUY",-D20,D20)</f>
        <v/>
      </c>
      <c r="L20">
        <f>SUM(H5:H28)</f>
        <v/>
      </c>
    </row>
    <row r="21">
      <c r="B21" s="7" t="n">
        <v>44922.53402777778</v>
      </c>
      <c r="C21" s="10" t="n">
        <v>2</v>
      </c>
      <c r="D21" s="10" t="n">
        <v>0</v>
      </c>
      <c r="E21" s="10">
        <f>D21/C21</f>
        <v/>
      </c>
      <c r="F21" s="10" t="inlineStr">
        <is>
          <t>ACCUMULATION</t>
        </is>
      </c>
      <c r="G21" s="5" t="inlineStr">
        <is>
          <t>Binance(CEX)</t>
        </is>
      </c>
      <c r="H21" t="n">
        <v>0</v>
      </c>
      <c r="I21">
        <f>IF($F21="BUY",-D21,D21)</f>
        <v/>
      </c>
    </row>
    <row r="22">
      <c r="B22" s="7" t="n">
        <v>44928.64930555555</v>
      </c>
      <c r="C22" s="10" t="n">
        <v>3.1444</v>
      </c>
      <c r="D22" s="10" t="n">
        <v>10</v>
      </c>
      <c r="E22" s="10" t="n">
        <v>3.18</v>
      </c>
      <c r="F22" s="10" t="inlineStr">
        <is>
          <t>SELL</t>
        </is>
      </c>
      <c r="G22" s="5" t="inlineStr">
        <is>
          <t>Binance(CEX)</t>
        </is>
      </c>
      <c r="H22">
        <f>IF($F22="BUY",C22,-C22)</f>
        <v/>
      </c>
      <c r="I22">
        <f>IF($F22="BUY",-D22,D22)</f>
        <v/>
      </c>
    </row>
    <row r="23">
      <c r="A23" s="30" t="n"/>
      <c r="B23" s="31" t="n">
        <v>44930.25375</v>
      </c>
      <c r="C23" s="32" t="n">
        <v>2.5091</v>
      </c>
      <c r="D23" s="32" t="n">
        <v>8.305121</v>
      </c>
      <c r="E23" s="32">
        <f>D23/C23</f>
        <v/>
      </c>
      <c r="F23" s="32" t="inlineStr">
        <is>
          <t>SELL</t>
        </is>
      </c>
      <c r="G23" s="30" t="inlineStr">
        <is>
          <t>BitGet(CEX)</t>
        </is>
      </c>
      <c r="H23">
        <f>IF($F23="BUY",C23,-C23)</f>
        <v/>
      </c>
      <c r="I23">
        <f>IF($F23="BUY",-D23,D23)</f>
        <v/>
      </c>
    </row>
    <row r="24">
      <c r="B24" s="7" t="n">
        <v>44931.33263888889</v>
      </c>
      <c r="C24" s="10" t="n">
        <v>1.4285</v>
      </c>
      <c r="D24" s="10" t="n">
        <v>5</v>
      </c>
      <c r="E24" s="10">
        <f>D24/C24</f>
        <v/>
      </c>
      <c r="F24" s="10" t="inlineStr">
        <is>
          <t>SELL</t>
        </is>
      </c>
      <c r="G24" s="5" t="inlineStr">
        <is>
          <t>Binance(CEX)</t>
        </is>
      </c>
      <c r="H24">
        <f>IF($F24="BUY",C24,-C24)</f>
        <v/>
      </c>
      <c r="I24">
        <f>IF($F24="BUY",-D24,D24)</f>
        <v/>
      </c>
    </row>
    <row r="25">
      <c r="B25" s="7" t="n">
        <v>44936.06111111111</v>
      </c>
      <c r="C25" s="10" t="n">
        <v>1.327</v>
      </c>
      <c r="D25" s="10" t="n">
        <v>5</v>
      </c>
      <c r="E25" s="10">
        <f>D25/C25</f>
        <v/>
      </c>
      <c r="F25" s="10" t="inlineStr">
        <is>
          <t>SELL</t>
        </is>
      </c>
      <c r="G25" s="5" t="inlineStr">
        <is>
          <t>Binance(CEX)</t>
        </is>
      </c>
      <c r="H25">
        <f>IF($F25="BUY",C25,-C25)</f>
        <v/>
      </c>
      <c r="I25">
        <f>IF($F25="BUY",-D25,D25)</f>
        <v/>
      </c>
    </row>
    <row r="26">
      <c r="B26" s="7" t="n">
        <v>44931.33263888889</v>
      </c>
      <c r="C26" s="10" t="n">
        <v>1.428</v>
      </c>
      <c r="D26" s="10" t="n">
        <v>5</v>
      </c>
      <c r="E26" s="10">
        <f>D26/C26</f>
        <v/>
      </c>
      <c r="F26" s="10" t="inlineStr">
        <is>
          <t>SELL</t>
        </is>
      </c>
      <c r="G26" s="5" t="inlineStr">
        <is>
          <t>Binance(CEX)</t>
        </is>
      </c>
      <c r="H26">
        <f>IF($F26="BUY",C26,-C26)</f>
        <v/>
      </c>
      <c r="I26">
        <f>IF($F26="BUY",-D26,D26)</f>
        <v/>
      </c>
    </row>
    <row r="27">
      <c r="B27" s="7" t="n">
        <v>44936.06111111111</v>
      </c>
      <c r="C27" s="10" t="n">
        <v>1.3274</v>
      </c>
      <c r="D27" s="10" t="n">
        <v>5</v>
      </c>
      <c r="E27" s="10">
        <f>D27/C27</f>
        <v/>
      </c>
      <c r="F27" s="10" t="inlineStr">
        <is>
          <t>SELL</t>
        </is>
      </c>
      <c r="G27" s="5" t="inlineStr">
        <is>
          <t>Binance(CEX)</t>
        </is>
      </c>
      <c r="H27">
        <f>IF($F27="BUY",C27,-C27)</f>
        <v/>
      </c>
      <c r="I27">
        <f>IF($F27="BUY",-D27,D27)</f>
        <v/>
      </c>
    </row>
    <row r="28">
      <c r="B28" s="7" t="n">
        <v>44974.03333333333</v>
      </c>
      <c r="C28" s="10" t="n">
        <v>0.63584927</v>
      </c>
      <c r="D28" s="10" t="n">
        <v>3.61</v>
      </c>
      <c r="E28" s="10">
        <f>D28/C28</f>
        <v/>
      </c>
      <c r="F28" s="10" t="inlineStr">
        <is>
          <t>SELL</t>
        </is>
      </c>
      <c r="G28" s="5" t="inlineStr">
        <is>
          <t>Binance(CEX)</t>
        </is>
      </c>
      <c r="H28">
        <f>IF($F28="BUY",C28,-C28)</f>
        <v/>
      </c>
      <c r="I28">
        <f>IF($F28="BUY",-D28,D28)</f>
        <v/>
      </c>
    </row>
    <row r="29">
      <c r="B29" s="7" t="n">
        <v>44976.54027777778</v>
      </c>
      <c r="C29" s="10" t="n">
        <v>1</v>
      </c>
      <c r="D29" s="10" t="n">
        <v>0</v>
      </c>
      <c r="E29" s="10">
        <f>D29/C29</f>
        <v/>
      </c>
      <c r="F29" s="10" t="inlineStr">
        <is>
          <t>DEPOSIT</t>
        </is>
      </c>
      <c r="G29" s="5" t="inlineStr">
        <is>
          <t>Binance(CEX)</t>
        </is>
      </c>
      <c r="H29" t="n">
        <v>0</v>
      </c>
      <c r="I29">
        <f>IF($F29="BUY",-D29,D29)</f>
        <v/>
      </c>
    </row>
    <row r="30">
      <c r="B30" s="7" t="n">
        <v>44976.55</v>
      </c>
      <c r="C30" s="10" t="n">
        <v>3.5</v>
      </c>
      <c r="D30" s="10" t="n">
        <v>0</v>
      </c>
      <c r="E30" s="10">
        <f>D30/C30</f>
        <v/>
      </c>
      <c r="F30" s="10" t="inlineStr">
        <is>
          <t>DEPOSIT</t>
        </is>
      </c>
      <c r="G30" s="5" t="inlineStr">
        <is>
          <t>Binance(CEX)</t>
        </is>
      </c>
      <c r="H30" t="n">
        <v>0</v>
      </c>
      <c r="I30">
        <f>IF($F30="BUY",-D30,D30)</f>
        <v/>
      </c>
    </row>
    <row r="31">
      <c r="B31" s="7" t="n">
        <v>44976.58541666667</v>
      </c>
      <c r="C31" s="10" t="n">
        <v>3.5</v>
      </c>
      <c r="D31" s="10" t="n">
        <v>32.0611</v>
      </c>
      <c r="E31" s="10">
        <f>D31/C31</f>
        <v/>
      </c>
      <c r="F31" s="10" t="inlineStr">
        <is>
          <t>SELL</t>
        </is>
      </c>
      <c r="G31" s="5" t="inlineStr">
        <is>
          <t>Binance(CEX)</t>
        </is>
      </c>
      <c r="H31">
        <f>IF($F31="BUY",C31,-C31)</f>
        <v/>
      </c>
      <c r="I31">
        <f>IF($F31="BUY",-D31,D31)</f>
        <v/>
      </c>
    </row>
    <row r="32">
      <c r="B32" s="7" t="n">
        <v>44981.90555555555</v>
      </c>
      <c r="C32" s="10" t="n">
        <v>3.5</v>
      </c>
      <c r="D32" s="10" t="n">
        <v>24.1435</v>
      </c>
      <c r="E32" s="10">
        <f>D32/C32</f>
        <v/>
      </c>
      <c r="F32" s="10" t="inlineStr">
        <is>
          <t>BUY</t>
        </is>
      </c>
      <c r="G32" s="5" t="inlineStr">
        <is>
          <t>Binance(CEX)</t>
        </is>
      </c>
      <c r="H32">
        <f>IF($F32="BUY",C32,-C32)</f>
        <v/>
      </c>
      <c r="I32">
        <f>IF($F32="BUY",-D32,D32)</f>
        <v/>
      </c>
    </row>
    <row r="33">
      <c r="B33" s="7" t="n">
        <v>44982.37152777778</v>
      </c>
      <c r="C33" s="25" t="n">
        <v>1.16684727</v>
      </c>
      <c r="D33" s="10" t="n">
        <v>8</v>
      </c>
      <c r="E33" s="10">
        <f>D33/C33</f>
        <v/>
      </c>
      <c r="F33" s="10" t="inlineStr">
        <is>
          <t>BUY</t>
        </is>
      </c>
      <c r="G33" s="5" t="inlineStr">
        <is>
          <t>Binance(CEX)</t>
        </is>
      </c>
      <c r="H33">
        <f>IF($F33="BUY",C33,-C33)</f>
        <v/>
      </c>
      <c r="I33">
        <f>IF($F33="BUY",-D33,D33)</f>
        <v/>
      </c>
    </row>
    <row r="34">
      <c r="B34" s="7" t="n">
        <v>44995.87569444445</v>
      </c>
      <c r="C34" s="10" t="n">
        <v>0.68755022</v>
      </c>
      <c r="D34" s="25" t="n">
        <v>3.61</v>
      </c>
      <c r="E34" s="10">
        <f>D34/C34</f>
        <v/>
      </c>
      <c r="F34" s="10" t="inlineStr">
        <is>
          <t>BUY</t>
        </is>
      </c>
      <c r="G34" s="5" t="inlineStr">
        <is>
          <t>Binance(CEX)</t>
        </is>
      </c>
      <c r="H34">
        <f>IF($F34="BUY",C34,-C34)</f>
        <v/>
      </c>
      <c r="I34">
        <f>IF($F34="BUY",-D34,D34)</f>
        <v/>
      </c>
    </row>
    <row r="35">
      <c r="B35" s="7" t="n">
        <v>44999.73680555556</v>
      </c>
      <c r="C35" s="10" t="n">
        <v>0.68755022</v>
      </c>
      <c r="D35" s="10" t="n">
        <v>4.95878898</v>
      </c>
      <c r="E35" s="10">
        <f>D35/C35</f>
        <v/>
      </c>
      <c r="F35" s="10" t="inlineStr">
        <is>
          <t>SELL</t>
        </is>
      </c>
      <c r="G35" s="5" t="inlineStr">
        <is>
          <t>Binance(CEX)</t>
        </is>
      </c>
      <c r="H35">
        <f>IF($F35="BUY",C35,-C35)</f>
        <v/>
      </c>
      <c r="I35">
        <f>IF($F35="BUY",-D35,D35)</f>
        <v/>
      </c>
    </row>
    <row r="36">
      <c r="B36" s="7" t="n">
        <v>45000.87777777778</v>
      </c>
      <c r="C36" s="10" t="n">
        <v>0.881592</v>
      </c>
      <c r="D36" s="10" t="n">
        <v>4.95</v>
      </c>
      <c r="E36" s="10">
        <f>D36/C36</f>
        <v/>
      </c>
      <c r="F36" s="10" t="inlineStr">
        <is>
          <t>BUY</t>
        </is>
      </c>
      <c r="G36" s="5" t="inlineStr">
        <is>
          <t>Binance(CEX)</t>
        </is>
      </c>
      <c r="H36">
        <f>IF($F36="BUY",C36,-C36)</f>
        <v/>
      </c>
      <c r="I36">
        <f>IF($F36="BUY",-D36,D36)</f>
        <v/>
      </c>
    </row>
    <row r="37">
      <c r="B37" s="7" t="n">
        <v>45002.58819444444</v>
      </c>
      <c r="C37" s="10" t="n">
        <v>0.881592</v>
      </c>
      <c r="D37" s="10" t="n">
        <v>5.475</v>
      </c>
      <c r="E37" s="10">
        <f>D37/C37</f>
        <v/>
      </c>
      <c r="F37" s="10" t="inlineStr">
        <is>
          <t>SELL</t>
        </is>
      </c>
      <c r="G37" s="5" t="inlineStr">
        <is>
          <t>Binance(CEX)</t>
        </is>
      </c>
      <c r="H37">
        <f>IF($F37="BUY",C37,-C37)</f>
        <v/>
      </c>
      <c r="I37">
        <f>IF($F37="BUY",-D37,D37)</f>
        <v/>
      </c>
    </row>
    <row r="38">
      <c r="B38" s="7" t="n">
        <v>45002.84375</v>
      </c>
      <c r="C38" s="10" t="n">
        <v>0.91960666</v>
      </c>
      <c r="D38" s="10" t="n">
        <v>5.47</v>
      </c>
      <c r="E38" s="10">
        <f>D38/C38</f>
        <v/>
      </c>
      <c r="F38" s="10" t="inlineStr">
        <is>
          <t>BUY</t>
        </is>
      </c>
      <c r="G38" s="5" t="inlineStr">
        <is>
          <t>Binance(CEX)</t>
        </is>
      </c>
      <c r="H38">
        <f>IF($F38="BUY",C38,-C38)</f>
        <v/>
      </c>
      <c r="I38">
        <f>IF($F38="BUY",-D38,D38)</f>
        <v/>
      </c>
    </row>
    <row r="39">
      <c r="B39" s="7" t="n">
        <v>45019.32847222222</v>
      </c>
      <c r="C39" s="10" t="n">
        <v>5.48838898</v>
      </c>
      <c r="D39" s="10" t="n">
        <v>30</v>
      </c>
      <c r="E39" s="10">
        <f>D39/C39</f>
        <v/>
      </c>
      <c r="F39" s="10" t="inlineStr">
        <is>
          <t>BUY</t>
        </is>
      </c>
      <c r="G39" s="5" t="inlineStr">
        <is>
          <t>Binance(CEX)</t>
        </is>
      </c>
      <c r="H39">
        <f>IF($F39="BUY",C39,-C39)</f>
        <v/>
      </c>
      <c r="I39">
        <f>IF($F39="BUY",-D39,D39)</f>
        <v/>
      </c>
    </row>
    <row r="40">
      <c r="B40" s="7" t="n">
        <v>45038.98680555556</v>
      </c>
      <c r="C40" s="10" t="n">
        <v>3.7793</v>
      </c>
      <c r="D40" s="10" t="n">
        <v>20</v>
      </c>
      <c r="E40" s="10">
        <f>D40/C40</f>
        <v/>
      </c>
      <c r="F40" s="10" t="inlineStr">
        <is>
          <t>BUY</t>
        </is>
      </c>
      <c r="G40" s="5" t="inlineStr">
        <is>
          <t>Binance(CEX)</t>
        </is>
      </c>
      <c r="H40">
        <f>IF($F40="BUY",C40,-C40)</f>
        <v/>
      </c>
      <c r="I40">
        <f>IF($F40="BUY",-D40,D40)</f>
        <v/>
      </c>
    </row>
    <row r="41">
      <c r="B41" s="7" t="n">
        <v>45060.5125</v>
      </c>
      <c r="C41" s="10" t="n">
        <v>6.775629</v>
      </c>
      <c r="D41" s="10" t="n">
        <v>30</v>
      </c>
      <c r="E41" s="10">
        <f>D41/C41</f>
        <v/>
      </c>
      <c r="F41" s="10" t="inlineStr">
        <is>
          <t>BUY</t>
        </is>
      </c>
      <c r="G41" s="5" t="inlineStr">
        <is>
          <t>Binance(CEX)</t>
        </is>
      </c>
      <c r="H41">
        <f>IF($F41="BUY",C41,-C41)</f>
        <v/>
      </c>
      <c r="I41">
        <f>IF($F41="BUY",-D41,D41)</f>
        <v/>
      </c>
    </row>
    <row r="42">
      <c r="B42" s="7" t="n">
        <v>45066.83888888889</v>
      </c>
      <c r="C42" s="10" t="n">
        <v>11.106891</v>
      </c>
      <c r="D42" s="10" t="n">
        <v>50</v>
      </c>
      <c r="E42" s="10">
        <f>D42/C42</f>
        <v/>
      </c>
      <c r="F42" s="10" t="inlineStr">
        <is>
          <t>BUY</t>
        </is>
      </c>
      <c r="G42" s="5" t="inlineStr">
        <is>
          <t>Binance(CEX)</t>
        </is>
      </c>
      <c r="H42">
        <f>IF($F42="BUY",C42,-C42)</f>
        <v/>
      </c>
      <c r="I42">
        <f>IF($F42="BUY",-D42,D42)</f>
        <v/>
      </c>
    </row>
    <row r="43">
      <c r="B43" s="7" t="n">
        <v>45087.37013888889</v>
      </c>
      <c r="C43" s="10" t="n">
        <v>7.96620408</v>
      </c>
      <c r="D43" s="10" t="n">
        <v>25</v>
      </c>
      <c r="E43" s="10">
        <f>D43/C43</f>
        <v/>
      </c>
      <c r="F43" s="10" t="inlineStr">
        <is>
          <t>BUY</t>
        </is>
      </c>
      <c r="G43" s="5" t="inlineStr">
        <is>
          <t>Binance(CEX)</t>
        </is>
      </c>
      <c r="H43">
        <f>IF($F43="BUY",C43,-C43)</f>
        <v/>
      </c>
      <c r="I43">
        <f>IF($F43="BUY",-D43,D43)</f>
        <v/>
      </c>
    </row>
    <row r="44">
      <c r="B44" s="7" t="n">
        <v>45179.96597222222</v>
      </c>
      <c r="C44" s="10" t="n">
        <v>16.03648559</v>
      </c>
      <c r="D44" s="10" t="n">
        <v>50</v>
      </c>
      <c r="E44" s="10">
        <f>D44/C44</f>
        <v/>
      </c>
      <c r="F44" s="10" t="inlineStr">
        <is>
          <t>BUY</t>
        </is>
      </c>
      <c r="G44" s="5" t="inlineStr">
        <is>
          <t>Binance(CEX)</t>
        </is>
      </c>
      <c r="H44">
        <f>IF($F44="BUY",C44,-C44)</f>
        <v/>
      </c>
      <c r="I44">
        <f>IF($F44="BUY",-D44,D44)</f>
        <v/>
      </c>
    </row>
  </sheetData>
  <mergeCells count="1">
    <mergeCell ref="B3:F3"/>
  </mergeCell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C7:I11"/>
  <sheetViews>
    <sheetView workbookViewId="0">
      <selection activeCell="M12" sqref="M12"/>
    </sheetView>
  </sheetViews>
  <sheetFormatPr baseColWidth="8" defaultRowHeight="14.4"/>
  <cols>
    <col width="15.6640625" bestFit="1" customWidth="1" style="6" min="3" max="3"/>
    <col width="11.6640625" bestFit="1" customWidth="1" style="6" min="8" max="8"/>
    <col width="37" bestFit="1" customWidth="1" style="6" min="9" max="9"/>
  </cols>
  <sheetData>
    <row r="7">
      <c r="C7" s="58" t="inlineStr">
        <is>
          <t>ADA</t>
        </is>
      </c>
    </row>
    <row r="8">
      <c r="C8" s="10" t="inlineStr">
        <is>
          <t>Date &amp; Time</t>
        </is>
      </c>
      <c r="D8" s="10" t="inlineStr">
        <is>
          <t>Ammount</t>
        </is>
      </c>
      <c r="E8" s="10" t="inlineStr">
        <is>
          <t>Cost(USD)</t>
        </is>
      </c>
      <c r="F8" s="10" t="inlineStr">
        <is>
          <t>Price(USD)</t>
        </is>
      </c>
      <c r="G8" s="10" t="inlineStr">
        <is>
          <t>Action</t>
        </is>
      </c>
      <c r="H8" s="10" t="inlineStr">
        <is>
          <t>Platform</t>
        </is>
      </c>
    </row>
    <row r="9">
      <c r="C9" s="7" t="n">
        <v>45130.58958333333</v>
      </c>
      <c r="D9" s="10" t="n">
        <v>31.63013589</v>
      </c>
      <c r="E9" s="10" t="n">
        <v>10</v>
      </c>
      <c r="F9" s="10">
        <f>E9/D9</f>
        <v/>
      </c>
      <c r="G9" s="10" t="inlineStr">
        <is>
          <t>BUY</t>
        </is>
      </c>
      <c r="H9" s="10" t="inlineStr">
        <is>
          <t>Binance(CEX)</t>
        </is>
      </c>
      <c r="I9" t="inlineStr">
        <is>
          <t>Only for Meld airdrop</t>
        </is>
      </c>
    </row>
    <row r="10">
      <c r="C10" s="7" t="n">
        <v>45270.65052083333</v>
      </c>
      <c r="D10" s="10" t="n">
        <v>26</v>
      </c>
      <c r="E10" s="10" t="n">
        <v>15.1744</v>
      </c>
      <c r="F10" s="10">
        <f>E10/D10</f>
        <v/>
      </c>
      <c r="G10" s="10" t="inlineStr">
        <is>
          <t>SELL</t>
        </is>
      </c>
      <c r="H10" s="10" t="inlineStr">
        <is>
          <t>Binance(CEX)</t>
        </is>
      </c>
    </row>
    <row r="11">
      <c r="C11" s="36" t="n"/>
      <c r="D11" s="10" t="n">
        <v>5.63</v>
      </c>
      <c r="E11" s="5" t="n"/>
      <c r="F11" s="10" t="n"/>
      <c r="G11" s="5" t="n"/>
      <c r="H11" s="10" t="n"/>
      <c r="I11" t="inlineStr">
        <is>
          <t>Spent for transaction fees and Meld airdrop</t>
        </is>
      </c>
    </row>
  </sheetData>
  <mergeCells count="1">
    <mergeCell ref="C7:G7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3:M16"/>
  <sheetViews>
    <sheetView workbookViewId="0">
      <selection activeCell="E27" sqref="E27"/>
    </sheetView>
  </sheetViews>
  <sheetFormatPr baseColWidth="8" defaultRowHeight="14.4"/>
  <cols>
    <col width="15.6640625" bestFit="1" customWidth="1" style="6" min="2" max="2"/>
  </cols>
  <sheetData>
    <row r="3">
      <c r="B3" s="57" t="inlineStr">
        <is>
          <t>ARB</t>
        </is>
      </c>
      <c r="C3" s="60" t="n"/>
      <c r="D3" s="60" t="n"/>
      <c r="E3" s="60" t="n"/>
      <c r="F3" s="60" t="n"/>
    </row>
    <row r="4">
      <c r="B4" s="10" t="inlineStr">
        <is>
          <t>Date &amp; Time</t>
        </is>
      </c>
      <c r="C4" s="10" t="inlineStr">
        <is>
          <t>Ammount</t>
        </is>
      </c>
      <c r="D4" s="10" t="inlineStr">
        <is>
          <t>Cost(USD)</t>
        </is>
      </c>
      <c r="E4" s="10" t="inlineStr">
        <is>
          <t>Price(USD)</t>
        </is>
      </c>
      <c r="F4" s="10" t="inlineStr">
        <is>
          <t>Action</t>
        </is>
      </c>
    </row>
    <row r="5">
      <c r="B5" s="7" t="n">
        <v>45008.78108796296</v>
      </c>
      <c r="C5" s="10" t="n">
        <v>24.4</v>
      </c>
      <c r="D5" s="10" t="n">
        <v>30.9</v>
      </c>
      <c r="E5" s="10">
        <f>D5/C5</f>
        <v/>
      </c>
      <c r="F5" s="10" t="inlineStr">
        <is>
          <t>BUY</t>
        </is>
      </c>
      <c r="H5">
        <f>IF($F5="BUY",C5,-C5)</f>
        <v/>
      </c>
      <c r="I5">
        <f>IF($F5="BUY",-D5,D5)</f>
        <v/>
      </c>
    </row>
    <row r="6">
      <c r="B6" s="7" t="n">
        <v>45031.32777777778</v>
      </c>
      <c r="C6" s="10" t="n">
        <v>24.3756</v>
      </c>
      <c r="D6" s="10" t="n">
        <v>39.93</v>
      </c>
      <c r="E6" s="10">
        <f>D6/C6</f>
        <v/>
      </c>
      <c r="F6" s="10" t="inlineStr">
        <is>
          <t>SELL</t>
        </is>
      </c>
      <c r="H6">
        <f>IF($F6="BUY",C6,-C6)</f>
        <v/>
      </c>
      <c r="I6">
        <f>IF($F6="BUY",-D6,D6)</f>
        <v/>
      </c>
    </row>
    <row r="7">
      <c r="B7" s="7" t="n">
        <v>45032.51597222222</v>
      </c>
      <c r="C7" s="10" t="n">
        <v>24.656644</v>
      </c>
      <c r="D7" s="10" t="n">
        <v>39.9</v>
      </c>
      <c r="E7" s="10">
        <f>D7/C7</f>
        <v/>
      </c>
      <c r="F7" s="10" t="inlineStr">
        <is>
          <t>BUY</t>
        </is>
      </c>
      <c r="H7">
        <f>IF($F7="BUY",C7,-C7)</f>
        <v/>
      </c>
      <c r="I7">
        <f>IF($F7="BUY",-D7,D7)</f>
        <v/>
      </c>
    </row>
    <row r="8">
      <c r="B8" s="7" t="n">
        <v>45054.87569444445</v>
      </c>
      <c r="C8" s="10" t="n">
        <v>27.5147</v>
      </c>
      <c r="D8" s="10" t="n">
        <v>30</v>
      </c>
      <c r="E8" s="10">
        <f>D8/C8</f>
        <v/>
      </c>
      <c r="F8" s="10" t="inlineStr">
        <is>
          <t>BUY</t>
        </is>
      </c>
      <c r="H8">
        <f>IF($F8="BUY",C8,-C8)</f>
        <v/>
      </c>
      <c r="I8">
        <f>IF($F8="BUY",-D8,D8)</f>
        <v/>
      </c>
    </row>
    <row r="9">
      <c r="B9" s="7" t="n"/>
      <c r="C9" s="10" t="n"/>
      <c r="D9" s="10" t="n"/>
      <c r="E9" s="10" t="n"/>
      <c r="F9" s="10" t="n"/>
    </row>
    <row r="10">
      <c r="B10" s="7" t="n"/>
      <c r="C10" s="10" t="n"/>
      <c r="D10" s="10" t="n"/>
      <c r="E10" s="10" t="n"/>
      <c r="F10" s="10" t="n"/>
    </row>
    <row r="11">
      <c r="B11" s="7" t="n"/>
      <c r="C11" s="10" t="n"/>
      <c r="D11" s="10" t="n"/>
      <c r="E11" s="10" t="n"/>
      <c r="F11" s="10" t="n"/>
    </row>
    <row r="12">
      <c r="B12" s="7" t="n"/>
      <c r="C12" s="10" t="n"/>
      <c r="D12" s="10" t="n"/>
      <c r="E12" s="10" t="n"/>
      <c r="F12" s="10" t="n"/>
    </row>
    <row r="13">
      <c r="B13" s="7" t="n"/>
      <c r="C13" s="10" t="n"/>
      <c r="D13" s="10" t="n"/>
      <c r="E13" s="10" t="n"/>
      <c r="F13" s="10" t="n"/>
    </row>
    <row r="14">
      <c r="B14" s="7" t="n"/>
      <c r="C14" s="10" t="n"/>
      <c r="D14" s="10" t="n"/>
      <c r="E14" s="10" t="n"/>
      <c r="F14" s="10" t="n"/>
    </row>
    <row r="15">
      <c r="B15" s="7" t="n"/>
      <c r="C15" s="10" t="n"/>
      <c r="D15" s="10" t="n"/>
      <c r="E15" s="10" t="n"/>
      <c r="F15" s="10" t="n"/>
      <c r="K15" t="inlineStr">
        <is>
          <t>Ammount</t>
        </is>
      </c>
      <c r="L15" t="inlineStr">
        <is>
          <t>Invested</t>
        </is>
      </c>
      <c r="M15" t="inlineStr">
        <is>
          <t>avarage price</t>
        </is>
      </c>
    </row>
    <row r="16">
      <c r="B16" s="7" t="n"/>
      <c r="C16" s="10" t="n"/>
      <c r="D16" s="10" t="n"/>
      <c r="E16" s="10" t="n"/>
      <c r="F16" s="10" t="n"/>
      <c r="K16">
        <f>SUM($H1:$H32)</f>
        <v/>
      </c>
      <c r="L16">
        <f>-SUM($I1:$I32)</f>
        <v/>
      </c>
      <c r="M16">
        <f>L16/K16</f>
        <v/>
      </c>
    </row>
  </sheetData>
  <mergeCells count="1">
    <mergeCell ref="B3:F3"/>
  </mergeCells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3:P27"/>
  <sheetViews>
    <sheetView workbookViewId="0">
      <selection activeCell="J28" sqref="J28"/>
    </sheetView>
  </sheetViews>
  <sheetFormatPr baseColWidth="8" defaultRowHeight="14.4"/>
  <cols>
    <col width="15.6640625" bestFit="1" customWidth="1" style="6" min="2" max="2"/>
    <col width="12" bestFit="1" customWidth="1" style="6" min="3" max="3"/>
    <col width="12" bestFit="1" customWidth="1" style="6" min="5" max="5"/>
    <col width="11.6640625" bestFit="1" customWidth="1" style="6" min="7" max="7"/>
    <col width="12" bestFit="1" customWidth="1" style="6" min="11" max="11"/>
    <col width="15.77734375" bestFit="1" customWidth="1" style="6" min="13" max="13"/>
    <col width="14.77734375" bestFit="1" customWidth="1" style="6" min="14" max="14"/>
    <col width="20.6640625" bestFit="1" customWidth="1" style="6" min="16" max="16"/>
  </cols>
  <sheetData>
    <row r="3">
      <c r="B3" s="57" t="inlineStr">
        <is>
          <t>???</t>
        </is>
      </c>
      <c r="C3" s="60" t="n"/>
      <c r="D3" s="60" t="n"/>
      <c r="E3" s="60" t="n"/>
      <c r="F3" s="60" t="n"/>
    </row>
    <row r="4">
      <c r="B4" s="10" t="inlineStr">
        <is>
          <t>Date &amp; Time</t>
        </is>
      </c>
      <c r="C4" s="10" t="inlineStr">
        <is>
          <t>Ammount</t>
        </is>
      </c>
      <c r="D4" s="10" t="inlineStr">
        <is>
          <t>Cost(USD)</t>
        </is>
      </c>
      <c r="E4" s="10" t="inlineStr">
        <is>
          <t>Price(USD)</t>
        </is>
      </c>
      <c r="F4" s="10" t="inlineStr">
        <is>
          <t>Action</t>
        </is>
      </c>
      <c r="G4" s="10" t="inlineStr">
        <is>
          <t>Platform</t>
        </is>
      </c>
    </row>
    <row r="5">
      <c r="B5" s="20" t="inlineStr">
        <is>
          <t>????</t>
        </is>
      </c>
      <c r="C5" s="21" t="n">
        <v>13.2</v>
      </c>
      <c r="D5" s="21" t="n">
        <v>20</v>
      </c>
      <c r="E5" s="21">
        <f>D5/C5</f>
        <v/>
      </c>
      <c r="F5" s="21" t="inlineStr">
        <is>
          <t>BUY</t>
        </is>
      </c>
      <c r="G5" s="5" t="inlineStr">
        <is>
          <t>Binance(CEX)</t>
        </is>
      </c>
      <c r="H5">
        <f>IF($F5="BUY",C5,-C5)</f>
        <v/>
      </c>
      <c r="I5">
        <f>IF($F5="BUY",-D5,D5)</f>
        <v/>
      </c>
    </row>
    <row r="6">
      <c r="B6" s="7" t="inlineStr">
        <is>
          <t>??</t>
        </is>
      </c>
      <c r="C6" s="10" t="n">
        <v>20</v>
      </c>
      <c r="D6" s="10" t="n">
        <v>20</v>
      </c>
      <c r="E6" s="10">
        <f>D6/C6</f>
        <v/>
      </c>
      <c r="F6" s="10" t="inlineStr">
        <is>
          <t>BUY</t>
        </is>
      </c>
      <c r="G6" s="5" t="inlineStr">
        <is>
          <t>Binance(CEX)</t>
        </is>
      </c>
      <c r="H6">
        <f>IF($F6="BUY",C6,-C6)</f>
        <v/>
      </c>
      <c r="I6">
        <f>IF($F6="BUY",-D6,D6)</f>
        <v/>
      </c>
    </row>
    <row r="7">
      <c r="B7" s="7" t="inlineStr">
        <is>
          <t>??</t>
        </is>
      </c>
      <c r="C7" t="n">
        <v>8.33348</v>
      </c>
      <c r="D7" s="10" t="n">
        <v>9.595000000000001</v>
      </c>
      <c r="E7" s="10" t="n"/>
      <c r="F7" s="10" t="inlineStr">
        <is>
          <t>BUY</t>
        </is>
      </c>
      <c r="G7" s="5" t="inlineStr">
        <is>
          <t>Binance(CEX)</t>
        </is>
      </c>
      <c r="H7">
        <f>IF($F7="BUY",C7,-C7)</f>
        <v/>
      </c>
      <c r="I7">
        <f>IF($F7="BUY",-D7,D7)</f>
        <v/>
      </c>
    </row>
    <row r="8">
      <c r="B8" s="7" t="n">
        <v>44912</v>
      </c>
      <c r="C8" s="10" t="n">
        <v>6.1236</v>
      </c>
      <c r="D8" s="10" t="n">
        <v>5</v>
      </c>
      <c r="E8" s="10">
        <f>D8/C8</f>
        <v/>
      </c>
      <c r="F8" s="10" t="inlineStr">
        <is>
          <t>BUY</t>
        </is>
      </c>
      <c r="G8" s="5" t="inlineStr">
        <is>
          <t>Binance(CEX)</t>
        </is>
      </c>
      <c r="H8">
        <f>IF($F8="BUY",C8,-C8)</f>
        <v/>
      </c>
      <c r="I8">
        <f>IF($F8="BUY",-D8,D8)</f>
        <v/>
      </c>
    </row>
    <row r="9">
      <c r="B9" s="7" t="n">
        <v>44915.24513888889</v>
      </c>
      <c r="C9" s="10" t="n">
        <v>6.27551391</v>
      </c>
      <c r="D9" s="10" t="n">
        <v>5</v>
      </c>
      <c r="E9" s="10">
        <f>D9/C9</f>
        <v/>
      </c>
      <c r="F9" s="10" t="inlineStr">
        <is>
          <t>BUY</t>
        </is>
      </c>
      <c r="G9" s="5" t="inlineStr">
        <is>
          <t>Binance(CEX)</t>
        </is>
      </c>
      <c r="H9">
        <f>IF($F9="BUY",C9,-C9)</f>
        <v/>
      </c>
      <c r="I9">
        <f>IF($F9="BUY",-D9,D9)</f>
        <v/>
      </c>
      <c r="K9" t="inlineStr">
        <is>
          <t>Ammount</t>
        </is>
      </c>
      <c r="L9" t="inlineStr">
        <is>
          <t>Invested</t>
        </is>
      </c>
      <c r="M9" t="inlineStr">
        <is>
          <t>avarage price</t>
        </is>
      </c>
    </row>
    <row r="10">
      <c r="B10" s="7" t="n">
        <v>44925.66597222222</v>
      </c>
      <c r="C10" s="10" t="n">
        <v>6.61867384</v>
      </c>
      <c r="D10" s="10" t="n">
        <v>5</v>
      </c>
      <c r="E10" s="10">
        <f>D10/C10</f>
        <v/>
      </c>
      <c r="F10" s="10" t="inlineStr">
        <is>
          <t>BUY</t>
        </is>
      </c>
      <c r="G10" s="5" t="inlineStr">
        <is>
          <t>Binance(CEX)</t>
        </is>
      </c>
      <c r="H10">
        <f>IF($F10="BUY",C10,-C10)</f>
        <v/>
      </c>
      <c r="I10">
        <f>IF($F10="BUY",-D10,D10)</f>
        <v/>
      </c>
      <c r="K10">
        <f>SUM(H6:H32)</f>
        <v/>
      </c>
      <c r="L10">
        <f>-SUM(I6:I30)</f>
        <v/>
      </c>
      <c r="M10">
        <f>L10/K10</f>
        <v/>
      </c>
    </row>
    <row r="11">
      <c r="B11" s="7" t="n">
        <v>44935.26527777778</v>
      </c>
      <c r="C11" s="10" t="n">
        <v>17.44698078</v>
      </c>
      <c r="D11" s="10" t="n">
        <v>15</v>
      </c>
      <c r="E11" s="10">
        <f>D11/C11</f>
        <v/>
      </c>
      <c r="F11" s="10" t="inlineStr">
        <is>
          <t>SELL</t>
        </is>
      </c>
      <c r="G11" s="5" t="inlineStr">
        <is>
          <t>Binance(CEX)</t>
        </is>
      </c>
      <c r="H11">
        <f>IF($F11="BUY",C11,-C11)</f>
        <v/>
      </c>
      <c r="I11">
        <f>IF($F11="BUY",-D11,D11)</f>
        <v/>
      </c>
    </row>
    <row r="12">
      <c r="B12" s="7" t="n">
        <v>44940.21805555555</v>
      </c>
      <c r="C12" s="10" t="n">
        <v>9.90429031</v>
      </c>
      <c r="D12" s="10" t="n">
        <v>9.595000000000001</v>
      </c>
      <c r="E12" s="10">
        <f>D12/C12</f>
        <v/>
      </c>
      <c r="F12" s="10" t="inlineStr">
        <is>
          <t>SELL</t>
        </is>
      </c>
      <c r="G12" s="5" t="inlineStr">
        <is>
          <t>Binance(CEX)</t>
        </is>
      </c>
      <c r="H12">
        <f>IF($F12="BUY",C12,-C12)</f>
        <v/>
      </c>
      <c r="I12">
        <f>IF($F12="BUY",-D12,D12)</f>
        <v/>
      </c>
    </row>
    <row r="13">
      <c r="B13" s="7" t="n">
        <v>44973.95331018518</v>
      </c>
      <c r="C13" s="10" t="n">
        <v>19.91</v>
      </c>
      <c r="D13" s="10" t="n">
        <v>27.649448</v>
      </c>
      <c r="E13" s="5">
        <f>D13/C13</f>
        <v/>
      </c>
      <c r="F13" s="5" t="inlineStr">
        <is>
          <t>SELL</t>
        </is>
      </c>
      <c r="G13" s="5" t="inlineStr">
        <is>
          <t>DEX</t>
        </is>
      </c>
      <c r="H13">
        <f>IF($F13="BUY",C13,-C13)</f>
        <v/>
      </c>
      <c r="I13">
        <f>IF($F13="BUY",-D13,D13)</f>
        <v/>
      </c>
    </row>
    <row r="14">
      <c r="B14" s="7" t="n">
        <v>44998.66251157408</v>
      </c>
      <c r="C14" s="10" t="n">
        <v>28.180072</v>
      </c>
      <c r="D14" s="10" t="n">
        <v>23.95</v>
      </c>
      <c r="E14" s="10">
        <f>D14/C14</f>
        <v/>
      </c>
      <c r="F14" s="11" t="inlineStr">
        <is>
          <t>BUY</t>
        </is>
      </c>
      <c r="G14" s="40" t="inlineStr">
        <is>
          <t>DEX</t>
        </is>
      </c>
      <c r="H14">
        <f>IF($F14="BUY",C14,-C14)</f>
        <v/>
      </c>
      <c r="I14">
        <f>IF($F14="BUY",-D14,D14)</f>
        <v/>
      </c>
      <c r="K14" s="59" t="n"/>
      <c r="L14" s="59" t="n"/>
      <c r="M14" s="59" t="inlineStr">
        <is>
          <t>Amount(BAT,USD)</t>
        </is>
      </c>
      <c r="N14" s="59" t="inlineStr">
        <is>
          <t>BUY</t>
        </is>
      </c>
      <c r="O14" s="59" t="inlineStr">
        <is>
          <t>SELL</t>
        </is>
      </c>
      <c r="P14" s="59" t="inlineStr">
        <is>
          <t>BUY back if already sold</t>
        </is>
      </c>
    </row>
    <row r="15">
      <c r="B15" s="7" t="n">
        <v>45041.7812037037</v>
      </c>
      <c r="C15" s="10" t="n">
        <v>10.5</v>
      </c>
      <c r="D15" s="10" t="n">
        <v>10</v>
      </c>
      <c r="E15" s="10">
        <f>D15/C15</f>
        <v/>
      </c>
      <c r="F15" s="10" t="inlineStr">
        <is>
          <t>BUY</t>
        </is>
      </c>
      <c r="G15" s="5" t="inlineStr">
        <is>
          <t>Binance(CEX)</t>
        </is>
      </c>
      <c r="H15">
        <f>IF($F15="BUY",C15,-C15)</f>
        <v/>
      </c>
      <c r="I15">
        <f>IF($F15="BUY",-D15,D15)</f>
        <v/>
      </c>
      <c r="K15" s="59" t="inlineStr">
        <is>
          <t>Strategy:</t>
        </is>
      </c>
      <c r="L15" s="59" t="inlineStr">
        <is>
          <t>Short term</t>
        </is>
      </c>
      <c r="M15" s="41" t="n">
        <v>150100</v>
      </c>
      <c r="N15" s="59" t="n">
        <v>0.5</v>
      </c>
      <c r="O15" s="59" t="n">
        <v>1.4</v>
      </c>
      <c r="P15" t="n">
        <v>1</v>
      </c>
    </row>
    <row r="16">
      <c r="B16" s="7" t="n">
        <v>45042.30681712963</v>
      </c>
      <c r="C16" s="10" t="n">
        <v>10.5</v>
      </c>
      <c r="D16" s="10" t="n">
        <v>10.466</v>
      </c>
      <c r="E16" s="10">
        <f>D16/C16</f>
        <v/>
      </c>
      <c r="F16" s="10" t="inlineStr">
        <is>
          <t>SELL</t>
        </is>
      </c>
      <c r="G16" s="5" t="inlineStr">
        <is>
          <t>Binance(CEX)</t>
        </is>
      </c>
      <c r="H16">
        <f>IF($F16="BUY",C16,-C16)</f>
        <v/>
      </c>
      <c r="I16">
        <f>IF($F16="BUY",-D16,D16)</f>
        <v/>
      </c>
      <c r="K16" s="59" t="n"/>
      <c r="L16" s="59" t="inlineStr">
        <is>
          <t>Long term</t>
        </is>
      </c>
      <c r="M16" s="59" t="inlineStr">
        <is>
          <t>The rest</t>
        </is>
      </c>
      <c r="N16" s="59" t="inlineStr">
        <is>
          <t>no buy long term</t>
        </is>
      </c>
      <c r="O16" s="59" t="n">
        <v>10</v>
      </c>
    </row>
    <row r="17">
      <c r="B17" s="7" t="n">
        <v>45048.52920138889</v>
      </c>
      <c r="C17" s="10" t="n">
        <v>10.87</v>
      </c>
      <c r="D17" s="10" t="n">
        <v>10.46</v>
      </c>
      <c r="E17" s="10">
        <f>D17/C17</f>
        <v/>
      </c>
      <c r="F17" s="10" t="inlineStr">
        <is>
          <t>BUY</t>
        </is>
      </c>
      <c r="G17" s="5" t="inlineStr">
        <is>
          <t>Binance(CEX)</t>
        </is>
      </c>
      <c r="H17">
        <f>IF($F17="BUY",C17,-C17)</f>
        <v/>
      </c>
      <c r="I17">
        <f>IF($F17="BUY",-D17,D17)</f>
        <v/>
      </c>
    </row>
    <row r="18">
      <c r="B18" s="7" t="n">
        <v>45057.76180555556</v>
      </c>
      <c r="C18" s="10" t="n">
        <v>23.7111216</v>
      </c>
      <c r="D18" s="10" t="n">
        <v>20</v>
      </c>
      <c r="E18" s="10">
        <f>D18/C18</f>
        <v/>
      </c>
      <c r="F18" s="10" t="inlineStr">
        <is>
          <t>BUY</t>
        </is>
      </c>
      <c r="G18" s="5" t="inlineStr">
        <is>
          <t>Binance(CEX)</t>
        </is>
      </c>
      <c r="H18">
        <f>IF($F18="BUY",C18,-C18)</f>
        <v/>
      </c>
      <c r="I18">
        <f>IF($F18="BUY",-D18,D18)</f>
        <v/>
      </c>
    </row>
    <row r="19">
      <c r="B19" s="7" t="n">
        <v>45057.76319444444</v>
      </c>
      <c r="C19" s="10" t="n">
        <v>34.48526417</v>
      </c>
      <c r="D19" s="10" t="n">
        <v>0</v>
      </c>
      <c r="E19" s="10">
        <f>D19/C19</f>
        <v/>
      </c>
      <c r="F19" s="10" t="inlineStr">
        <is>
          <t>Withdraw</t>
        </is>
      </c>
      <c r="G19" s="5" t="n"/>
      <c r="H19" t="n">
        <v>0</v>
      </c>
      <c r="I19">
        <f>IF($F19="BUY",-D19,D19)</f>
        <v/>
      </c>
    </row>
    <row r="20">
      <c r="B20" s="7" t="n">
        <v>45083.01388888889</v>
      </c>
      <c r="C20" s="10" t="n">
        <v>60.04668587</v>
      </c>
      <c r="D20" s="10" t="n">
        <v>50</v>
      </c>
      <c r="E20" s="10">
        <f>D20/C20</f>
        <v/>
      </c>
      <c r="F20" s="10" t="inlineStr">
        <is>
          <t>BUY</t>
        </is>
      </c>
      <c r="G20" s="5" t="inlineStr">
        <is>
          <t>Binance(CEX)</t>
        </is>
      </c>
      <c r="H20">
        <f>IF($F20="BUY",C20,-C20)</f>
        <v/>
      </c>
      <c r="I20">
        <f>IF($F20="BUY",-D20,D20)</f>
        <v/>
      </c>
    </row>
    <row r="21">
      <c r="B21" s="7" t="n">
        <v>45084.04375</v>
      </c>
      <c r="C21" s="10" t="n">
        <v>31.25</v>
      </c>
      <c r="D21" s="10" t="n">
        <v>25</v>
      </c>
      <c r="E21" s="10">
        <f>D21/C21</f>
        <v/>
      </c>
      <c r="F21" s="10" t="inlineStr">
        <is>
          <t>BUY</t>
        </is>
      </c>
      <c r="G21" s="5" t="inlineStr">
        <is>
          <t>Binance(CEX)</t>
        </is>
      </c>
      <c r="H21">
        <f>IF($F21="BUY",C21,-C21)</f>
        <v/>
      </c>
      <c r="I21">
        <f>IF($F21="BUY",-D21,D21)</f>
        <v/>
      </c>
    </row>
    <row r="22">
      <c r="B22" s="7" t="n">
        <v>45085.35069444445</v>
      </c>
      <c r="C22" s="10" t="n">
        <v>32.59</v>
      </c>
      <c r="D22" s="10" t="n">
        <v>25</v>
      </c>
      <c r="E22" s="10">
        <f>D22/C22</f>
        <v/>
      </c>
      <c r="F22" s="10" t="inlineStr">
        <is>
          <t>BUY</t>
        </is>
      </c>
      <c r="G22" s="5" t="inlineStr">
        <is>
          <t>Binance(CEX)</t>
        </is>
      </c>
      <c r="H22">
        <f>IF($F22="BUY",C22,-C22)</f>
        <v/>
      </c>
      <c r="I22">
        <f>IF($F22="BUY",-D22,D22)</f>
        <v/>
      </c>
    </row>
    <row r="23">
      <c r="B23" s="7" t="n">
        <v>45087.37013888889</v>
      </c>
      <c r="C23" s="10" t="n">
        <v>41.6894</v>
      </c>
      <c r="D23" s="25" t="n">
        <v>25</v>
      </c>
      <c r="E23" s="10">
        <f>D23/C23</f>
        <v/>
      </c>
      <c r="F23" s="10" t="inlineStr">
        <is>
          <t>BUY</t>
        </is>
      </c>
      <c r="G23" s="5" t="inlineStr">
        <is>
          <t>Binance(CEX)</t>
        </is>
      </c>
      <c r="H23">
        <f>IF($F23="BUY",C23,-C23)</f>
        <v/>
      </c>
      <c r="I23">
        <f>IF($F23="BUY",-D23,D23)</f>
        <v/>
      </c>
    </row>
    <row r="24">
      <c r="B24" s="7" t="n">
        <v>45087.55694444444</v>
      </c>
      <c r="C24" s="10" t="n">
        <v>86.89131833</v>
      </c>
      <c r="D24" s="10" t="n">
        <v>49.806</v>
      </c>
      <c r="E24" s="10">
        <f>D24/C24</f>
        <v/>
      </c>
      <c r="F24" s="10" t="inlineStr">
        <is>
          <t>BUY</t>
        </is>
      </c>
      <c r="G24" s="5" t="inlineStr">
        <is>
          <t>Binance(CEX)</t>
        </is>
      </c>
      <c r="H24">
        <f>IF($F24="BUY",C24,-C24)</f>
        <v/>
      </c>
      <c r="I24">
        <f>IF($F24="BUY",-D24,D24)</f>
        <v/>
      </c>
    </row>
    <row r="25">
      <c r="B25" s="7" t="n">
        <v>45102.03958333333</v>
      </c>
      <c r="C25" s="10" t="n">
        <v>28.24</v>
      </c>
      <c r="D25" s="10" t="n">
        <v>18.4</v>
      </c>
      <c r="E25" s="10">
        <f>D25/C25</f>
        <v/>
      </c>
      <c r="F25" s="10" t="inlineStr">
        <is>
          <t>BUY</t>
        </is>
      </c>
      <c r="G25" s="5" t="inlineStr">
        <is>
          <t>Binance(CEX)</t>
        </is>
      </c>
      <c r="H25">
        <f>IF($F25="BUY",C25,-C25)</f>
        <v/>
      </c>
      <c r="I25">
        <f>IF($F25="BUY",-D25,D25)</f>
        <v/>
      </c>
    </row>
    <row r="26">
      <c r="B26" s="7" t="n">
        <v>45156.43055555555</v>
      </c>
      <c r="C26" s="10" t="n">
        <v>85.6904</v>
      </c>
      <c r="D26" s="10" t="n">
        <v>50</v>
      </c>
      <c r="E26" s="10">
        <f>D26/C26</f>
        <v/>
      </c>
      <c r="F26" s="10" t="inlineStr">
        <is>
          <t>BUY</t>
        </is>
      </c>
      <c r="G26" s="5" t="inlineStr">
        <is>
          <t>Binance(CEX)</t>
        </is>
      </c>
      <c r="H26">
        <f>IF($F26="BUY",C26,-C26)</f>
        <v/>
      </c>
      <c r="I26">
        <f>IF($F26="BUY",-D26,D26)</f>
        <v/>
      </c>
    </row>
    <row r="27">
      <c r="B27" s="7" t="n">
        <v>45179.96597222222</v>
      </c>
      <c r="C27" s="10" t="n">
        <v>95.38622555000001</v>
      </c>
      <c r="D27" s="10" t="n">
        <v>50</v>
      </c>
      <c r="E27" s="10">
        <f>D27/C27</f>
        <v/>
      </c>
      <c r="F27" s="10" t="inlineStr">
        <is>
          <t>BUY</t>
        </is>
      </c>
      <c r="G27" s="5" t="inlineStr">
        <is>
          <t>Binance(CEX)</t>
        </is>
      </c>
      <c r="H27">
        <f>IF($F27="BUY",C27,-C27)</f>
        <v/>
      </c>
      <c r="I27">
        <f>IF($F27="BUY",-D27,D27)</f>
        <v/>
      </c>
    </row>
  </sheetData>
  <mergeCells count="1">
    <mergeCell ref="B3:F3"/>
  </mergeCells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C3:O19"/>
  <sheetViews>
    <sheetView topLeftCell="B1" zoomScale="115" zoomScaleNormal="115" workbookViewId="0">
      <selection activeCell="G21" sqref="G21"/>
    </sheetView>
  </sheetViews>
  <sheetFormatPr baseColWidth="8" defaultRowHeight="14.4"/>
  <cols>
    <col width="15.33203125" bestFit="1" customWidth="1" style="6" min="3" max="3"/>
    <col width="10.21875" bestFit="1" customWidth="1" style="6" min="7" max="7"/>
    <col width="11.6640625" bestFit="1" customWidth="1" style="6" min="8" max="8"/>
    <col width="9.21875" bestFit="1" customWidth="1" style="6" min="13" max="13"/>
    <col width="7.88671875" bestFit="1" customWidth="1" style="6" min="14" max="14"/>
    <col width="11.88671875" bestFit="1" customWidth="1" style="6" min="15" max="15"/>
  </cols>
  <sheetData>
    <row r="3">
      <c r="C3" s="57" t="inlineStr">
        <is>
          <t>CAKE</t>
        </is>
      </c>
      <c r="D3" s="60" t="n"/>
      <c r="E3" s="60" t="n"/>
      <c r="F3" s="60" t="n"/>
      <c r="G3" s="60" t="n"/>
    </row>
    <row r="4">
      <c r="C4" s="10" t="inlineStr">
        <is>
          <t>Date &amp; Time</t>
        </is>
      </c>
      <c r="D4" s="10" t="inlineStr">
        <is>
          <t>Ammount</t>
        </is>
      </c>
      <c r="E4" s="10" t="inlineStr">
        <is>
          <t>Cost(USD)</t>
        </is>
      </c>
      <c r="F4" s="10" t="inlineStr">
        <is>
          <t>Price(USD)</t>
        </is>
      </c>
      <c r="G4" s="10" t="inlineStr">
        <is>
          <t>Action</t>
        </is>
      </c>
      <c r="H4" s="18" t="inlineStr">
        <is>
          <t>Platform</t>
        </is>
      </c>
    </row>
    <row r="5">
      <c r="C5" s="10" t="inlineStr">
        <is>
          <t>???</t>
        </is>
      </c>
      <c r="D5" s="10" t="inlineStr">
        <is>
          <t>??</t>
        </is>
      </c>
      <c r="E5" s="10" t="inlineStr">
        <is>
          <t>??</t>
        </is>
      </c>
      <c r="F5" s="10" t="inlineStr">
        <is>
          <t>??</t>
        </is>
      </c>
      <c r="G5" s="10" t="n"/>
      <c r="H5" s="18" t="n"/>
    </row>
    <row r="6">
      <c r="C6" s="38" t="n">
        <v>44963.48394675926</v>
      </c>
      <c r="D6" s="10" t="n">
        <v>3.26</v>
      </c>
      <c r="E6" s="10" t="n">
        <v>15</v>
      </c>
      <c r="F6" s="10">
        <f>E6/D6</f>
        <v/>
      </c>
      <c r="G6" s="10" t="inlineStr">
        <is>
          <t>SELL</t>
        </is>
      </c>
      <c r="H6" s="10" t="inlineStr">
        <is>
          <t>Binance(CEX)</t>
        </is>
      </c>
      <c r="I6">
        <f>IF($G6="BUY",D6,-D6)</f>
        <v/>
      </c>
      <c r="J6">
        <f>IF($G6="BUY",-E6,E6)</f>
        <v/>
      </c>
      <c r="M6" t="inlineStr">
        <is>
          <t>Ammount</t>
        </is>
      </c>
      <c r="N6" t="inlineStr">
        <is>
          <t>Invested</t>
        </is>
      </c>
      <c r="O6" t="inlineStr">
        <is>
          <t>avarage price</t>
        </is>
      </c>
    </row>
    <row r="7">
      <c r="C7" s="38" t="n">
        <v>44970.80833333333</v>
      </c>
      <c r="D7" s="10" t="n">
        <v>3.9064</v>
      </c>
      <c r="E7" s="10" t="n">
        <v>15</v>
      </c>
      <c r="F7" s="10">
        <f>E7/D7</f>
        <v/>
      </c>
      <c r="G7" s="10" t="inlineStr">
        <is>
          <t>BUY</t>
        </is>
      </c>
      <c r="H7" s="10" t="inlineStr">
        <is>
          <t>Binance(CEX)</t>
        </is>
      </c>
      <c r="I7">
        <f>IF($G7="BUY",D7,-D7)</f>
        <v/>
      </c>
      <c r="J7">
        <f>IF($G7="BUY",-E7,E7)</f>
        <v/>
      </c>
      <c r="M7">
        <f>SUM(I2:I29)</f>
        <v/>
      </c>
      <c r="N7">
        <f>-SUM(J2:J27)</f>
        <v/>
      </c>
      <c r="O7">
        <f>N7/M7</f>
        <v/>
      </c>
    </row>
    <row r="8">
      <c r="C8" s="38" t="n">
        <v>45021.00347222222</v>
      </c>
      <c r="D8" s="10" t="n">
        <v>1.00202781</v>
      </c>
      <c r="E8" s="10" t="n"/>
      <c r="F8" s="10">
        <f>E8/D8</f>
        <v/>
      </c>
      <c r="G8" s="10" t="inlineStr">
        <is>
          <t>REDEEMED</t>
        </is>
      </c>
      <c r="H8" s="10" t="inlineStr">
        <is>
          <t>Binance(CEX)</t>
        </is>
      </c>
      <c r="I8">
        <f>IF($G8="BUY",D8,-D8)</f>
        <v/>
      </c>
      <c r="J8">
        <f>IF($G8="BUY",-E8,E8)</f>
        <v/>
      </c>
    </row>
    <row r="9">
      <c r="C9" s="38" t="n">
        <v>45040.79097222222</v>
      </c>
      <c r="D9" s="10" t="n">
        <v>17.247</v>
      </c>
      <c r="E9" s="10" t="n">
        <v>50</v>
      </c>
      <c r="F9" s="10">
        <f>E9/D9</f>
        <v/>
      </c>
      <c r="G9" s="10" t="inlineStr">
        <is>
          <t>BUY</t>
        </is>
      </c>
      <c r="H9" s="10" t="inlineStr">
        <is>
          <t>Binance(CEX)</t>
        </is>
      </c>
      <c r="I9">
        <f>IF($G9="BUY",D9,-D9)</f>
        <v/>
      </c>
      <c r="J9">
        <f>IF($G9="BUY",-E9,E9)</f>
        <v/>
      </c>
    </row>
    <row r="10">
      <c r="C10" s="38" t="n">
        <v>45048.80625</v>
      </c>
      <c r="D10" s="10" t="n">
        <v>19.798</v>
      </c>
      <c r="E10" s="10" t="n">
        <v>50</v>
      </c>
      <c r="F10" s="10">
        <f>E10/D10</f>
        <v/>
      </c>
      <c r="G10" s="10" t="inlineStr">
        <is>
          <t>BUY</t>
        </is>
      </c>
      <c r="H10" s="10" t="inlineStr">
        <is>
          <t>Binance(CEX)</t>
        </is>
      </c>
      <c r="I10">
        <f>IF($G10="BUY",D10,-D10)</f>
        <v/>
      </c>
      <c r="J10">
        <f>IF($G10="BUY",-E10,E10)</f>
        <v/>
      </c>
    </row>
    <row r="11">
      <c r="C11" s="38" t="n">
        <v>45053.57986111111</v>
      </c>
      <c r="D11" s="10" t="n">
        <v>32.8635</v>
      </c>
      <c r="E11" s="10" t="n">
        <v>70</v>
      </c>
      <c r="F11" s="10">
        <f>E11/D11</f>
        <v/>
      </c>
      <c r="G11" s="10" t="inlineStr">
        <is>
          <t>BUY</t>
        </is>
      </c>
      <c r="H11" s="10" t="inlineStr">
        <is>
          <t>Binance(CEX)</t>
        </is>
      </c>
      <c r="I11">
        <f>IF($G11="BUY",D11,-D11)</f>
        <v/>
      </c>
      <c r="J11">
        <f>IF($G11="BUY",-E11,E11)</f>
        <v/>
      </c>
    </row>
    <row r="12">
      <c r="C12" s="38" t="n">
        <v>45071.25486111111</v>
      </c>
      <c r="D12" s="10" t="n">
        <v>3.228</v>
      </c>
      <c r="E12" s="10" t="n">
        <v>5.1</v>
      </c>
      <c r="F12" s="10">
        <f>E12/D12</f>
        <v/>
      </c>
      <c r="G12" s="10" t="inlineStr">
        <is>
          <t>BUY</t>
        </is>
      </c>
      <c r="H12" s="10" t="inlineStr">
        <is>
          <t>Binance(CEX)</t>
        </is>
      </c>
      <c r="I12">
        <f>IF($G12="BUY",D12,-D12)</f>
        <v/>
      </c>
      <c r="J12">
        <f>IF($G12="BUY",-E12,E12)</f>
        <v/>
      </c>
    </row>
    <row r="13">
      <c r="C13" s="38" t="n">
        <v>45071.90625</v>
      </c>
      <c r="D13" s="10" t="n">
        <v>38.52017</v>
      </c>
      <c r="E13" s="10" t="n">
        <v>60</v>
      </c>
      <c r="F13" s="10">
        <f>E13/D13</f>
        <v/>
      </c>
      <c r="G13" s="10" t="inlineStr">
        <is>
          <t>BUY</t>
        </is>
      </c>
      <c r="H13" s="10" t="inlineStr">
        <is>
          <t>Binance(CEX)</t>
        </is>
      </c>
      <c r="I13">
        <f>IF($G13="BUY",D13,-D13)</f>
        <v/>
      </c>
      <c r="J13">
        <f>IF($G13="BUY",-E13,E13)</f>
        <v/>
      </c>
    </row>
    <row r="14">
      <c r="C14" s="38" t="n">
        <v>45073.4875</v>
      </c>
      <c r="D14" s="10" t="n">
        <v>32.2991</v>
      </c>
      <c r="E14" s="10" t="n">
        <v>50</v>
      </c>
      <c r="F14" s="10">
        <f>E14/D14</f>
        <v/>
      </c>
      <c r="G14" s="10" t="inlineStr">
        <is>
          <t>BUY</t>
        </is>
      </c>
      <c r="H14" s="10" t="inlineStr">
        <is>
          <t>Binance(CEX)</t>
        </is>
      </c>
      <c r="I14">
        <f>IF($G14="BUY",D14,-D14)</f>
        <v/>
      </c>
      <c r="J14">
        <f>IF($G14="BUY",-E14,E14)</f>
        <v/>
      </c>
    </row>
    <row r="15">
      <c r="F15" s="58" t="n"/>
      <c r="H15" s="58" t="n"/>
    </row>
    <row r="16">
      <c r="F16" s="58" t="n"/>
      <c r="H16" s="58" t="n"/>
    </row>
    <row r="17">
      <c r="H17" s="58" t="n"/>
    </row>
    <row r="18">
      <c r="H18" s="58" t="n"/>
    </row>
    <row r="19">
      <c r="H19" s="58" t="n"/>
    </row>
  </sheetData>
  <mergeCells count="1">
    <mergeCell ref="C3:G3"/>
  </mergeCells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3:M21"/>
  <sheetViews>
    <sheetView zoomScale="130" zoomScaleNormal="130" workbookViewId="0">
      <selection activeCell="B6" sqref="B6:G6"/>
    </sheetView>
  </sheetViews>
  <sheetFormatPr baseColWidth="8" defaultRowHeight="14.4"/>
  <cols>
    <col width="15.6640625" bestFit="1" customWidth="1" style="6" min="2" max="2"/>
    <col width="11.88671875" bestFit="1" customWidth="1" style="6" min="7" max="7"/>
    <col width="20.88671875" customWidth="1" style="6" min="8" max="8"/>
  </cols>
  <sheetData>
    <row r="3">
      <c r="B3" s="57" t="inlineStr">
        <is>
          <t>AXS</t>
        </is>
      </c>
      <c r="C3" s="60" t="n"/>
      <c r="D3" s="60" t="n"/>
      <c r="E3" s="60" t="n"/>
      <c r="F3" s="60" t="n"/>
      <c r="G3" s="58" t="n"/>
    </row>
    <row r="4">
      <c r="B4" s="18" t="inlineStr">
        <is>
          <t>Date &amp; Time</t>
        </is>
      </c>
      <c r="C4" s="18" t="inlineStr">
        <is>
          <t>Ammount</t>
        </is>
      </c>
      <c r="D4" s="18" t="inlineStr">
        <is>
          <t>Cost(USD)</t>
        </is>
      </c>
      <c r="E4" s="18" t="inlineStr">
        <is>
          <t>Price(USD)</t>
        </is>
      </c>
      <c r="F4" s="18" t="inlineStr">
        <is>
          <t>Action</t>
        </is>
      </c>
      <c r="G4" s="59" t="inlineStr">
        <is>
          <t>Platform</t>
        </is>
      </c>
    </row>
    <row r="5">
      <c r="B5" s="18" t="inlineStr">
        <is>
          <t>???</t>
        </is>
      </c>
      <c r="C5" s="18" t="inlineStr">
        <is>
          <t>??</t>
        </is>
      </c>
      <c r="D5" s="18" t="inlineStr">
        <is>
          <t>??</t>
        </is>
      </c>
      <c r="E5" s="18" t="inlineStr">
        <is>
          <t>??</t>
        </is>
      </c>
      <c r="F5" s="18" t="n"/>
      <c r="G5" s="59" t="n"/>
    </row>
    <row r="6">
      <c r="B6" s="7" t="n">
        <v>44898.04771990741</v>
      </c>
      <c r="C6" s="18" t="n">
        <v>0.7138</v>
      </c>
      <c r="D6" s="18" t="n">
        <v>5</v>
      </c>
      <c r="E6" s="18">
        <f>D6/C6</f>
        <v/>
      </c>
      <c r="F6" s="18" t="inlineStr">
        <is>
          <t>SELL</t>
        </is>
      </c>
      <c r="G6" s="10" t="inlineStr">
        <is>
          <t>Binance(CEX)</t>
        </is>
      </c>
      <c r="H6">
        <f>IF($F6="BUY",C6,-C6)</f>
        <v/>
      </c>
      <c r="I6">
        <f>IF($F6="BUY",-D6,D6)</f>
        <v/>
      </c>
    </row>
    <row r="7">
      <c r="B7" s="7" t="n">
        <v>44923.59930555556</v>
      </c>
      <c r="C7" s="18" t="n">
        <v>0.713</v>
      </c>
      <c r="D7" s="18" t="n">
        <v>4.5</v>
      </c>
      <c r="E7" s="18">
        <f>D7/C7</f>
        <v/>
      </c>
      <c r="F7" s="18" t="inlineStr">
        <is>
          <t>BUY</t>
        </is>
      </c>
      <c r="G7" s="10" t="inlineStr">
        <is>
          <t>Binance(CEX)</t>
        </is>
      </c>
      <c r="H7">
        <f>IF($F7="BUY",C7,-C7)</f>
        <v/>
      </c>
      <c r="I7">
        <f>IF($F7="BUY",-D7,D7)</f>
        <v/>
      </c>
    </row>
    <row r="8">
      <c r="B8" s="7" t="n">
        <v>44935.05625</v>
      </c>
      <c r="C8" s="18" t="n">
        <v>0.8235</v>
      </c>
      <c r="D8" s="18" t="n">
        <v>7</v>
      </c>
      <c r="E8" s="18">
        <f>D8/C8</f>
        <v/>
      </c>
      <c r="F8" s="18" t="inlineStr">
        <is>
          <t>SELL</t>
        </is>
      </c>
      <c r="G8" s="10" t="inlineStr">
        <is>
          <t>Binance(CEX)</t>
        </is>
      </c>
      <c r="H8">
        <f>IF($F8="BUY",C8,-C8)</f>
        <v/>
      </c>
      <c r="I8">
        <f>IF($F8="BUY",-D8,D8)</f>
        <v/>
      </c>
    </row>
    <row r="9">
      <c r="B9" s="7" t="n">
        <v>44940.00972222222</v>
      </c>
      <c r="C9" s="18" t="n">
        <v>0.4761</v>
      </c>
      <c r="D9" s="18" t="n">
        <v>5</v>
      </c>
      <c r="E9" s="18">
        <f>D9/C9</f>
        <v/>
      </c>
      <c r="F9" s="18" t="inlineStr">
        <is>
          <t>SELL</t>
        </is>
      </c>
      <c r="G9" s="10" t="inlineStr">
        <is>
          <t>Binance(CEX)</t>
        </is>
      </c>
      <c r="H9">
        <f>IF($F9="BUY",C9,-C9)</f>
        <v/>
      </c>
      <c r="I9">
        <f>IF($F9="BUY",-D9,D9)</f>
        <v/>
      </c>
    </row>
    <row r="10">
      <c r="B10" s="7" t="n">
        <v>44942.35972222222</v>
      </c>
      <c r="C10" s="18" t="n">
        <v>0.52</v>
      </c>
      <c r="D10" s="18" t="n">
        <v>5</v>
      </c>
      <c r="E10" s="18">
        <f>D10/C10</f>
        <v/>
      </c>
      <c r="F10" s="18" t="inlineStr">
        <is>
          <t>SELL</t>
        </is>
      </c>
      <c r="G10" s="10" t="inlineStr">
        <is>
          <t>Binance(CEX)</t>
        </is>
      </c>
      <c r="H10">
        <f>IF($F10="BUY",C10,-C10)</f>
        <v/>
      </c>
      <c r="I10">
        <f>IF($F10="BUY",-D10,D10)</f>
        <v/>
      </c>
      <c r="K10" t="inlineStr">
        <is>
          <t>Ammount</t>
        </is>
      </c>
      <c r="L10" t="inlineStr">
        <is>
          <t>Invested</t>
        </is>
      </c>
      <c r="M10" t="inlineStr">
        <is>
          <t>avarage price</t>
        </is>
      </c>
    </row>
    <row r="11">
      <c r="B11" s="7" t="n">
        <v>44948.58611111111</v>
      </c>
      <c r="C11" s="18" t="n">
        <v>0.529</v>
      </c>
      <c r="D11" s="18" t="n">
        <v>5</v>
      </c>
      <c r="E11" s="18">
        <f>D11/C11</f>
        <v/>
      </c>
      <c r="F11" s="18" t="inlineStr">
        <is>
          <t>SELL</t>
        </is>
      </c>
      <c r="G11" s="10" t="inlineStr">
        <is>
          <t>Binance(CEX)</t>
        </is>
      </c>
      <c r="H11">
        <f>IF($F11="BUY",C11,-C11)</f>
        <v/>
      </c>
      <c r="I11">
        <f>IF($F11="BUY",-D11,D11)</f>
        <v/>
      </c>
      <c r="K11">
        <f>SUM(H6:H33)</f>
        <v/>
      </c>
      <c r="L11">
        <f>-SUM(I6:I31)</f>
        <v/>
      </c>
      <c r="M11">
        <f>L11/K11</f>
        <v/>
      </c>
    </row>
    <row r="12">
      <c r="B12" s="7" t="n">
        <v>44948.70486111111</v>
      </c>
      <c r="C12" s="18" t="n">
        <v>0.384</v>
      </c>
      <c r="D12" s="18" t="n">
        <v>5</v>
      </c>
      <c r="E12" s="18">
        <f>D12/C12</f>
        <v/>
      </c>
      <c r="F12" s="18" t="inlineStr">
        <is>
          <t>SELL</t>
        </is>
      </c>
      <c r="G12" s="10" t="inlineStr">
        <is>
          <t>Binance(CEX)</t>
        </is>
      </c>
      <c r="H12">
        <f>IF($F12="BUY",C12,-C12)</f>
        <v/>
      </c>
      <c r="I12">
        <f>IF($F12="BUY",-D12,D12)</f>
        <v/>
      </c>
    </row>
    <row r="13">
      <c r="B13" s="7" t="n">
        <v>44948.93680555555</v>
      </c>
      <c r="C13" s="18" t="n">
        <v>0.4415</v>
      </c>
      <c r="D13" s="18" t="n">
        <v>5</v>
      </c>
      <c r="E13" s="18">
        <f>D13/C13</f>
        <v/>
      </c>
      <c r="F13" s="18" t="inlineStr">
        <is>
          <t>SELL</t>
        </is>
      </c>
      <c r="G13" s="10" t="inlineStr">
        <is>
          <t>Binance(CEX)</t>
        </is>
      </c>
      <c r="H13">
        <f>IF($F13="BUY",C13,-C13)</f>
        <v/>
      </c>
      <c r="I13">
        <f>IF($F13="BUY",-D13,D13)</f>
        <v/>
      </c>
    </row>
    <row r="14">
      <c r="B14" s="7" t="n">
        <v>44981.90763888889</v>
      </c>
      <c r="C14" s="18" t="n">
        <v>0.8255</v>
      </c>
      <c r="D14" s="18" t="n">
        <v>8.178240000000001</v>
      </c>
      <c r="E14" s="18">
        <f>D14/C14</f>
        <v/>
      </c>
      <c r="F14" s="18" t="inlineStr">
        <is>
          <t>BUY</t>
        </is>
      </c>
      <c r="G14" s="10" t="inlineStr">
        <is>
          <t>Binance(CEX)</t>
        </is>
      </c>
      <c r="H14">
        <f>IF($F14="BUY",C14,-C14)</f>
        <v/>
      </c>
      <c r="I14">
        <f>IF($F14="BUY",-D14,D14)</f>
        <v/>
      </c>
    </row>
    <row r="15">
      <c r="B15" s="7" t="n">
        <v>44993.03055555555</v>
      </c>
      <c r="C15" s="18" t="n">
        <v>1.875</v>
      </c>
      <c r="D15" s="18" t="n">
        <v>15</v>
      </c>
      <c r="E15" s="10">
        <f>D15/C15</f>
        <v/>
      </c>
      <c r="F15" s="18" t="inlineStr">
        <is>
          <t>BUY</t>
        </is>
      </c>
      <c r="G15" s="10" t="inlineStr">
        <is>
          <t>Binance(CEX)</t>
        </is>
      </c>
      <c r="H15">
        <f>IF($F15="BUY",C15,-C15)</f>
        <v/>
      </c>
      <c r="I15">
        <f>IF($F15="BUY",-D15,D15)</f>
        <v/>
      </c>
    </row>
    <row r="16">
      <c r="B16" s="7" t="n">
        <v>44994.95625</v>
      </c>
      <c r="C16" s="18" t="n">
        <v>1</v>
      </c>
      <c r="D16" s="18" t="n">
        <v>7</v>
      </c>
      <c r="E16" s="10">
        <f>D16/C16</f>
        <v/>
      </c>
      <c r="F16" s="18" t="inlineStr">
        <is>
          <t>BUY</t>
        </is>
      </c>
      <c r="G16" s="10" t="inlineStr">
        <is>
          <t>Binance(CEX)</t>
        </is>
      </c>
      <c r="H16">
        <f>IF($F16="BUY",C16,-C16)</f>
        <v/>
      </c>
      <c r="I16">
        <f>IF($F16="BUY",-D16,D16)</f>
        <v/>
      </c>
    </row>
    <row r="17">
      <c r="B17" s="7" t="n">
        <v>44999.73819444444</v>
      </c>
      <c r="C17" s="18" t="n">
        <v>1</v>
      </c>
      <c r="D17" s="18" t="n">
        <v>8.892846459999999</v>
      </c>
      <c r="E17" s="18">
        <f>D17/C17</f>
        <v/>
      </c>
      <c r="F17" s="18" t="inlineStr">
        <is>
          <t>SELL</t>
        </is>
      </c>
      <c r="G17" s="10" t="inlineStr">
        <is>
          <t>Binance(CEX)</t>
        </is>
      </c>
      <c r="H17">
        <f>IF($F17="BUY",C17,-C17)</f>
        <v/>
      </c>
      <c r="I17">
        <f>IF($F17="BUY",-D17,D17)</f>
        <v/>
      </c>
    </row>
    <row r="18">
      <c r="B18" s="44" t="inlineStr">
        <is>
          <t>???</t>
        </is>
      </c>
      <c r="C18" s="5" t="inlineStr">
        <is>
          <t>???</t>
        </is>
      </c>
      <c r="D18" s="5" t="inlineStr">
        <is>
          <t>???</t>
        </is>
      </c>
      <c r="E18" s="18" t="inlineStr">
        <is>
          <t>???</t>
        </is>
      </c>
      <c r="F18" s="18" t="inlineStr">
        <is>
          <t>???</t>
        </is>
      </c>
      <c r="G18" s="10" t="inlineStr">
        <is>
          <t>Binance(CEX)</t>
        </is>
      </c>
    </row>
    <row r="19">
      <c r="B19" s="7" t="n">
        <v>45222.97916666666</v>
      </c>
      <c r="C19" s="18" t="n">
        <v>4.3811396</v>
      </c>
      <c r="D19" s="18" t="n">
        <v>20</v>
      </c>
      <c r="E19" s="18">
        <f>D19/C19</f>
        <v/>
      </c>
      <c r="F19" s="18" t="inlineStr">
        <is>
          <t>BUY</t>
        </is>
      </c>
      <c r="G19" s="10" t="inlineStr">
        <is>
          <t>Binance(CEX)</t>
        </is>
      </c>
      <c r="H19">
        <f>IF($F19="BUY",C19,-C19)</f>
        <v/>
      </c>
      <c r="I19">
        <f>IF($F19="BUY",-D19,D19)</f>
        <v/>
      </c>
    </row>
    <row r="21">
      <c r="C21" t="inlineStr">
        <is>
          <t> </t>
        </is>
      </c>
    </row>
  </sheetData>
  <mergeCells count="1">
    <mergeCell ref="B3:F3"/>
  </mergeCells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3:P17"/>
  <sheetViews>
    <sheetView tabSelected="1" workbookViewId="0">
      <selection activeCell="H2" sqref="H2"/>
    </sheetView>
  </sheetViews>
  <sheetFormatPr baseColWidth="8" defaultRowHeight="14.4"/>
  <cols>
    <col width="14.6640625" bestFit="1" customWidth="1" style="6" min="2" max="2"/>
    <col width="15.77734375" bestFit="1" customWidth="1" style="6" min="13" max="13"/>
    <col width="14.77734375" customWidth="1" style="6" min="14" max="14"/>
    <col width="20.6640625" bestFit="1" customWidth="1" style="6" min="16" max="16"/>
  </cols>
  <sheetData>
    <row r="3">
      <c r="B3" s="57" t="inlineStr">
        <is>
          <t>CTSI</t>
        </is>
      </c>
      <c r="C3" s="60" t="n"/>
      <c r="D3" s="60" t="n"/>
      <c r="E3" s="60" t="n"/>
      <c r="F3" s="60" t="n"/>
    </row>
    <row r="4">
      <c r="B4" s="10" t="inlineStr">
        <is>
          <t>Date &amp; Time</t>
        </is>
      </c>
      <c r="C4" s="10" t="inlineStr">
        <is>
          <t>Ammount</t>
        </is>
      </c>
      <c r="D4" s="10" t="inlineStr">
        <is>
          <t>Cost(USD)</t>
        </is>
      </c>
      <c r="E4" s="10" t="inlineStr">
        <is>
          <t>Price(USD)</t>
        </is>
      </c>
      <c r="F4" s="10" t="inlineStr">
        <is>
          <t>Action</t>
        </is>
      </c>
    </row>
    <row r="5">
      <c r="B5" s="7" t="n">
        <v>44898.04771990741</v>
      </c>
      <c r="C5" s="18" t="n">
        <v>0.7138</v>
      </c>
      <c r="D5" s="18" t="n">
        <v>5</v>
      </c>
      <c r="E5" s="18">
        <f>D5/C5</f>
        <v/>
      </c>
      <c r="F5" s="18" t="inlineStr">
        <is>
          <t>SELL</t>
        </is>
      </c>
      <c r="G5" s="10" t="inlineStr">
        <is>
          <t>Binance(CEX)</t>
        </is>
      </c>
      <c r="H5">
        <f>IF($F5="BUY",C5,-C5)</f>
        <v/>
      </c>
      <c r="I5">
        <f>IF($F5="BUY",-D5,D5)</f>
        <v/>
      </c>
      <c r="K5" s="59" t="n"/>
      <c r="L5" s="59" t="n"/>
      <c r="M5" s="59" t="inlineStr">
        <is>
          <t>Amount(CTSI,USD)</t>
        </is>
      </c>
      <c r="N5" s="59" t="inlineStr">
        <is>
          <t>BUY</t>
        </is>
      </c>
      <c r="O5" s="59" t="inlineStr">
        <is>
          <t>SELL</t>
        </is>
      </c>
      <c r="P5" s="59" t="inlineStr">
        <is>
          <t>BUY back if already sold</t>
        </is>
      </c>
    </row>
    <row r="6">
      <c r="B6" s="7" t="n"/>
      <c r="C6" s="10" t="n"/>
      <c r="D6" s="10" t="n"/>
      <c r="E6" s="10" t="n"/>
      <c r="F6" s="10" t="n"/>
      <c r="H6">
        <f>IF($F6="BUY",C6,-C6)</f>
        <v/>
      </c>
      <c r="I6">
        <f>IF($F6="BUY",-D6,D6)</f>
        <v/>
      </c>
      <c r="K6" s="59" t="inlineStr">
        <is>
          <t>Strategy:</t>
        </is>
      </c>
      <c r="L6" s="59" t="inlineStr">
        <is>
          <t>Short term</t>
        </is>
      </c>
      <c r="M6" s="59" t="inlineStr">
        <is>
          <t>250,40</t>
        </is>
      </c>
      <c r="N6" s="59" t="n">
        <v>0.12</v>
      </c>
      <c r="O6" s="59" t="n">
        <v>0.25</v>
      </c>
      <c r="P6" t="n">
        <v>0.17</v>
      </c>
    </row>
    <row r="7">
      <c r="B7" s="7" t="n"/>
      <c r="C7" s="10" t="n"/>
      <c r="D7" s="10" t="n"/>
      <c r="E7" s="10" t="n"/>
      <c r="F7" s="10" t="n"/>
      <c r="H7">
        <f>IF($F7="BUY",C7,-C7)</f>
        <v/>
      </c>
      <c r="I7">
        <f>IF($F7="BUY",-D7,D7)</f>
        <v/>
      </c>
      <c r="K7" s="59" t="n"/>
      <c r="L7" s="59" t="inlineStr">
        <is>
          <t>Long term</t>
        </is>
      </c>
      <c r="M7" s="59" t="inlineStr">
        <is>
          <t>The rest</t>
        </is>
      </c>
      <c r="N7" s="59" t="inlineStr">
        <is>
          <t>no buy long term</t>
        </is>
      </c>
      <c r="O7" s="59" t="n">
        <v>4</v>
      </c>
    </row>
    <row r="8">
      <c r="B8" s="7" t="n"/>
      <c r="C8" s="10" t="n"/>
      <c r="D8" s="10" t="n"/>
      <c r="E8" s="10" t="n"/>
      <c r="F8" s="10" t="n"/>
      <c r="H8">
        <f>IF($F8="BUY",C8,-C8)</f>
        <v/>
      </c>
      <c r="I8">
        <f>IF($F8="BUY",-D8,D8)</f>
        <v/>
      </c>
      <c r="K8" s="59" t="n"/>
      <c r="L8" s="59" t="n"/>
      <c r="M8" s="59" t="n"/>
      <c r="N8" s="59" t="n"/>
      <c r="O8" s="59" t="n"/>
    </row>
    <row r="9">
      <c r="B9" s="7" t="n"/>
      <c r="C9" s="10" t="n"/>
      <c r="D9" s="10" t="n"/>
      <c r="E9" s="10" t="n"/>
      <c r="F9" s="10" t="n"/>
      <c r="H9">
        <f>IF($F9="BUY",C9,-C9)</f>
        <v/>
      </c>
      <c r="I9">
        <f>IF($F9="BUY",-D9,D9)</f>
        <v/>
      </c>
      <c r="K9" s="59" t="n"/>
      <c r="L9" s="59" t="n"/>
      <c r="M9" s="59" t="n"/>
      <c r="N9" s="59" t="n"/>
      <c r="O9" s="59" t="n"/>
    </row>
    <row r="10">
      <c r="B10" s="7" t="n"/>
      <c r="C10" s="10" t="n"/>
      <c r="D10" s="10" t="n"/>
      <c r="E10" s="10" t="n"/>
      <c r="F10" s="10" t="n"/>
      <c r="H10">
        <f>IF($F10="BUY",C10,-C10)</f>
        <v/>
      </c>
      <c r="I10">
        <f>IF($F10="BUY",-D10,D10)</f>
        <v/>
      </c>
      <c r="K10" s="59" t="n"/>
      <c r="L10" s="59" t="n"/>
      <c r="M10" s="59" t="n"/>
      <c r="N10" s="59" t="n"/>
      <c r="O10" s="59" t="n"/>
    </row>
    <row r="11">
      <c r="B11" s="7" t="n"/>
      <c r="C11" s="10" t="n"/>
      <c r="D11" s="10" t="n"/>
      <c r="E11" s="10" t="n"/>
      <c r="F11" s="10" t="n"/>
      <c r="H11">
        <f>IF($F11="BUY",C11,-C11)</f>
        <v/>
      </c>
      <c r="I11">
        <f>IF($F11="BUY",-D11,D11)</f>
        <v/>
      </c>
      <c r="K11" s="59" t="n"/>
      <c r="L11" s="59" t="n"/>
      <c r="M11" s="59" t="n"/>
      <c r="N11" s="59" t="n"/>
      <c r="O11" s="59" t="n"/>
    </row>
    <row r="12">
      <c r="B12" s="7" t="n"/>
      <c r="C12" s="10" t="n"/>
      <c r="D12" s="10" t="n"/>
      <c r="E12" s="10" t="n"/>
      <c r="F12" s="10" t="n"/>
      <c r="H12">
        <f>IF($F12="BUY",C12,-C12)</f>
        <v/>
      </c>
      <c r="I12">
        <f>IF($F12="BUY",-D12,D12)</f>
        <v/>
      </c>
    </row>
    <row r="13">
      <c r="B13" s="7" t="n"/>
      <c r="C13" s="10" t="n"/>
      <c r="D13" s="10" t="n"/>
      <c r="E13" s="10" t="n"/>
      <c r="F13" s="10" t="n"/>
      <c r="H13">
        <f>IF($F13="BUY",C13,-C13)</f>
        <v/>
      </c>
      <c r="I13">
        <f>IF($F13="BUY",-D13,D13)</f>
        <v/>
      </c>
    </row>
    <row r="14">
      <c r="B14" s="7" t="n"/>
      <c r="C14" s="10" t="n"/>
      <c r="D14" s="10" t="n"/>
      <c r="E14" s="10" t="n"/>
      <c r="F14" s="10" t="n"/>
    </row>
    <row r="15">
      <c r="B15" s="7" t="n"/>
      <c r="C15" s="10" t="n"/>
      <c r="D15" s="10" t="n"/>
      <c r="E15" s="10" t="n"/>
      <c r="F15" s="10" t="n"/>
    </row>
    <row r="16">
      <c r="B16" s="7" t="n"/>
      <c r="C16" s="10" t="n"/>
      <c r="D16" s="10" t="n"/>
      <c r="E16" s="10" t="n"/>
      <c r="F16" s="10" t="n"/>
      <c r="K16" t="inlineStr">
        <is>
          <t>Ammount</t>
        </is>
      </c>
      <c r="L16" t="inlineStr">
        <is>
          <t>Invested</t>
        </is>
      </c>
      <c r="M16" t="inlineStr">
        <is>
          <t>avarage price</t>
        </is>
      </c>
    </row>
    <row r="17">
      <c r="B17" s="7" t="n"/>
      <c r="C17" s="10" t="n"/>
      <c r="D17" s="10" t="n"/>
      <c r="E17" s="10" t="n"/>
      <c r="F17" s="10" t="n"/>
      <c r="K17">
        <f>SUM($H4:$H33)</f>
        <v/>
      </c>
      <c r="L17">
        <f>-SUM($I1:$I33)</f>
        <v/>
      </c>
      <c r="M17">
        <f>L17/K17</f>
        <v/>
      </c>
    </row>
  </sheetData>
  <mergeCells count="1">
    <mergeCell ref="B3:F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3:M16"/>
  <sheetViews>
    <sheetView topLeftCell="B1" workbookViewId="0">
      <selection activeCell="M9" sqref="M9"/>
    </sheetView>
  </sheetViews>
  <sheetFormatPr baseColWidth="8" defaultRowHeight="14.4"/>
  <cols>
    <col width="15.6640625" bestFit="1" customWidth="1" style="6" min="2" max="2"/>
    <col width="12" bestFit="1" customWidth="1" style="6" min="3" max="3"/>
    <col width="11.6640625" bestFit="1" customWidth="1" style="6" min="7" max="7"/>
  </cols>
  <sheetData>
    <row r="3">
      <c r="B3" s="57" t="inlineStr">
        <is>
          <t>AR</t>
        </is>
      </c>
      <c r="C3" s="60" t="n"/>
      <c r="D3" s="60" t="n"/>
      <c r="E3" s="60" t="n"/>
      <c r="F3" s="60" t="n"/>
    </row>
    <row r="4">
      <c r="B4" s="10" t="inlineStr">
        <is>
          <t>Date &amp; Time</t>
        </is>
      </c>
      <c r="C4" s="10" t="inlineStr">
        <is>
          <t>Ammount</t>
        </is>
      </c>
      <c r="D4" s="10" t="inlineStr">
        <is>
          <t>Cost(USD)</t>
        </is>
      </c>
      <c r="E4" s="10" t="inlineStr">
        <is>
          <t>Price(USD)</t>
        </is>
      </c>
      <c r="F4" s="10" t="inlineStr">
        <is>
          <t>Action</t>
        </is>
      </c>
      <c r="G4" s="10" t="inlineStr">
        <is>
          <t>Platform</t>
        </is>
      </c>
    </row>
    <row r="5">
      <c r="B5" s="7" t="n">
        <v>45156.88472222222</v>
      </c>
      <c r="C5" s="10" t="n">
        <v>11.50186257</v>
      </c>
      <c r="D5" s="10" t="n">
        <v>50</v>
      </c>
      <c r="E5" s="10">
        <f>D5/C5</f>
        <v/>
      </c>
      <c r="F5" s="10" t="inlineStr">
        <is>
          <t>BUY</t>
        </is>
      </c>
      <c r="G5" s="10" t="inlineStr">
        <is>
          <t>Binance(CEX)</t>
        </is>
      </c>
      <c r="H5">
        <f>IF($F5="BUY",C5,-C5)</f>
        <v/>
      </c>
      <c r="I5">
        <f>IF($F5="BUY",-D5,D5)</f>
        <v/>
      </c>
    </row>
    <row r="6">
      <c r="B6" s="7" t="n">
        <v>45164.60277777778</v>
      </c>
      <c r="C6" s="10" t="n">
        <v>11.46753668</v>
      </c>
      <c r="D6" s="10" t="n">
        <v>48.34577</v>
      </c>
      <c r="E6" s="10">
        <f>D6/C6</f>
        <v/>
      </c>
      <c r="F6" s="10" t="inlineStr">
        <is>
          <t>BUY</t>
        </is>
      </c>
      <c r="G6" s="10" t="inlineStr">
        <is>
          <t>Binance(CEX)</t>
        </is>
      </c>
      <c r="H6">
        <f>IF($F6="BUY",C6,-C6)</f>
        <v/>
      </c>
      <c r="I6">
        <f>IF($F6="BUY",-D6,D6)</f>
        <v/>
      </c>
    </row>
    <row r="7">
      <c r="B7" s="7" t="n">
        <v>45249.84583333333</v>
      </c>
      <c r="C7" s="10" t="n">
        <v>11.0617</v>
      </c>
      <c r="D7" s="10" t="n">
        <v>100</v>
      </c>
      <c r="E7" s="10">
        <f>D7/C7</f>
        <v/>
      </c>
      <c r="F7" s="10" t="inlineStr">
        <is>
          <t>SELL</t>
        </is>
      </c>
      <c r="G7" s="10" t="inlineStr">
        <is>
          <t>Binance(CEX)</t>
        </is>
      </c>
      <c r="H7">
        <f>IF($F7="BUY",C7,-C7)</f>
        <v/>
      </c>
    </row>
    <row r="8">
      <c r="B8" s="7" t="n">
        <v>45252.82944444445</v>
      </c>
      <c r="C8" s="10" t="n">
        <v>12.799</v>
      </c>
      <c r="D8" s="10" t="n">
        <v>100</v>
      </c>
      <c r="E8" s="10">
        <f>D8/C8</f>
        <v/>
      </c>
      <c r="F8" s="10" t="inlineStr">
        <is>
          <t>BUY</t>
        </is>
      </c>
      <c r="G8" s="58" t="inlineStr">
        <is>
          <t>OKX(CEX)</t>
        </is>
      </c>
      <c r="H8">
        <f>IF($F8="BUY",C8,-C8)</f>
        <v/>
      </c>
    </row>
    <row r="9">
      <c r="B9" s="7" t="n"/>
      <c r="C9" s="10" t="n"/>
      <c r="D9" s="10" t="n"/>
      <c r="E9" s="10" t="n"/>
      <c r="F9" s="10" t="n"/>
    </row>
    <row r="10">
      <c r="B10" s="7" t="n"/>
      <c r="C10" s="10" t="n"/>
      <c r="D10" s="10" t="n"/>
      <c r="E10" s="10" t="n"/>
      <c r="F10" s="10" t="n"/>
    </row>
    <row r="11">
      <c r="B11" s="7" t="n"/>
      <c r="C11" s="10" t="n"/>
      <c r="D11" s="10" t="n"/>
      <c r="E11" s="10" t="n"/>
      <c r="F11" s="10" t="n"/>
    </row>
    <row r="12">
      <c r="B12" s="7" t="n"/>
      <c r="C12" s="10" t="n"/>
      <c r="D12" s="10" t="n"/>
      <c r="E12" s="10" t="n"/>
      <c r="F12" s="10" t="n"/>
    </row>
    <row r="13">
      <c r="B13" s="7" t="n"/>
      <c r="C13" s="10" t="n"/>
      <c r="D13" s="10" t="n"/>
      <c r="E13" s="10" t="n"/>
      <c r="F13" s="10" t="n"/>
    </row>
    <row r="14">
      <c r="B14" s="7" t="n"/>
      <c r="C14" s="10" t="n"/>
      <c r="D14" s="10" t="n"/>
      <c r="E14" s="10" t="n"/>
      <c r="F14" s="10" t="n"/>
    </row>
    <row r="15">
      <c r="B15" s="7" t="n"/>
      <c r="C15" s="10" t="n"/>
      <c r="D15" s="10" t="n"/>
      <c r="E15" s="10" t="n"/>
      <c r="F15" s="10" t="n"/>
      <c r="K15" t="inlineStr">
        <is>
          <t>Ammount</t>
        </is>
      </c>
      <c r="L15" t="inlineStr">
        <is>
          <t>Invested</t>
        </is>
      </c>
      <c r="M15" t="inlineStr">
        <is>
          <t>avarage price</t>
        </is>
      </c>
    </row>
    <row r="16">
      <c r="B16" s="7" t="n"/>
      <c r="C16" s="10" t="n"/>
      <c r="D16" s="10" t="n"/>
      <c r="E16" s="10" t="n"/>
      <c r="F16" s="10" t="n"/>
      <c r="K16">
        <f>SUM($H1:$H32)</f>
        <v/>
      </c>
      <c r="L16">
        <f>-SUM($I1:$I32)</f>
        <v/>
      </c>
      <c r="M16">
        <f>L16/K16</f>
        <v/>
      </c>
    </row>
  </sheetData>
  <mergeCells count="1">
    <mergeCell ref="B3:F3"/>
  </mergeCells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B3:M16"/>
  <sheetViews>
    <sheetView workbookViewId="0">
      <selection activeCell="M16" sqref="A1:M16"/>
    </sheetView>
  </sheetViews>
  <sheetFormatPr baseColWidth="8" defaultRowHeight="14.4"/>
  <cols>
    <col width="15.6640625" bestFit="1" customWidth="1" style="6" min="2" max="2"/>
    <col width="9.33203125" bestFit="1" customWidth="1" style="6" min="3" max="3"/>
    <col width="11.6640625" bestFit="1" customWidth="1" style="6" min="7" max="7"/>
  </cols>
  <sheetData>
    <row r="3">
      <c r="B3" s="57" t="inlineStr">
        <is>
          <t>FLUX</t>
        </is>
      </c>
      <c r="C3" s="60" t="n"/>
      <c r="D3" s="60" t="n"/>
      <c r="E3" s="60" t="n"/>
      <c r="F3" s="60" t="n"/>
    </row>
    <row r="4">
      <c r="B4" s="10" t="inlineStr">
        <is>
          <t>Date &amp; Time</t>
        </is>
      </c>
      <c r="C4" s="10" t="inlineStr">
        <is>
          <t>Ammount</t>
        </is>
      </c>
      <c r="D4" s="10" t="inlineStr">
        <is>
          <t>Cost(USD)</t>
        </is>
      </c>
      <c r="E4" s="10" t="inlineStr">
        <is>
          <t>Price(USD)</t>
        </is>
      </c>
      <c r="F4" s="10" t="inlineStr">
        <is>
          <t>Action</t>
        </is>
      </c>
      <c r="G4" s="10" t="inlineStr">
        <is>
          <t>Platform</t>
        </is>
      </c>
    </row>
    <row r="5">
      <c r="B5" s="7" t="n">
        <v>45248.53541666667</v>
      </c>
      <c r="C5" s="10" t="n">
        <v>50.42835579</v>
      </c>
      <c r="D5" t="n">
        <v>19.80631315</v>
      </c>
      <c r="E5" s="10">
        <f>D5/C5</f>
        <v/>
      </c>
      <c r="F5" s="10" t="inlineStr">
        <is>
          <t>BUY</t>
        </is>
      </c>
      <c r="G5" s="10" t="inlineStr">
        <is>
          <t>Binance(CEX)</t>
        </is>
      </c>
      <c r="H5">
        <f>IF($F5="BUY",C5,-C5)</f>
        <v/>
      </c>
      <c r="I5">
        <f>IF($F5="BUY",-D5,D5)</f>
        <v/>
      </c>
    </row>
    <row r="6">
      <c r="B6" s="7" t="n">
        <v>45249.84652777778</v>
      </c>
      <c r="C6" s="10" t="n">
        <v>243.4603144</v>
      </c>
      <c r="D6" t="n">
        <v>100</v>
      </c>
      <c r="E6" s="10">
        <f>D6/C6</f>
        <v/>
      </c>
      <c r="F6" s="10" t="inlineStr">
        <is>
          <t>BUY</t>
        </is>
      </c>
      <c r="G6" s="10" t="inlineStr">
        <is>
          <t>Binance(CEX)</t>
        </is>
      </c>
      <c r="H6">
        <f>IF($F6="BUY",C6,-C6)</f>
        <v/>
      </c>
      <c r="I6">
        <f>IF($F6="BUY",-D6,D6)</f>
        <v/>
      </c>
    </row>
    <row r="7">
      <c r="B7" s="7" t="n"/>
      <c r="C7" s="10" t="n"/>
      <c r="D7" s="10" t="n"/>
      <c r="E7" s="10" t="n"/>
      <c r="F7" s="10" t="n"/>
    </row>
    <row r="8">
      <c r="B8" s="7" t="n"/>
      <c r="C8" s="10" t="n"/>
      <c r="D8" s="10" t="n"/>
      <c r="E8" s="10" t="n"/>
      <c r="F8" s="10" t="n"/>
    </row>
    <row r="9">
      <c r="B9" s="7" t="n"/>
      <c r="C9" s="10" t="n"/>
      <c r="D9" s="10" t="n"/>
      <c r="E9" s="10" t="n"/>
      <c r="F9" s="10" t="n"/>
    </row>
    <row r="10">
      <c r="B10" s="7" t="n"/>
      <c r="C10" s="10" t="n"/>
      <c r="D10" s="10" t="n"/>
      <c r="E10" s="10" t="n"/>
      <c r="F10" s="10" t="n"/>
    </row>
    <row r="11">
      <c r="B11" s="7" t="n"/>
      <c r="C11" s="10" t="n"/>
      <c r="D11" s="10" t="n"/>
      <c r="E11" s="10" t="n"/>
      <c r="F11" s="10" t="n"/>
    </row>
    <row r="12">
      <c r="B12" s="7" t="n"/>
      <c r="C12" s="10" t="n"/>
      <c r="D12" s="10" t="n"/>
      <c r="E12" s="10" t="n"/>
      <c r="F12" s="10" t="n"/>
    </row>
    <row r="13">
      <c r="B13" s="7" t="n"/>
      <c r="C13" s="10" t="n"/>
      <c r="D13" s="10" t="n"/>
      <c r="E13" s="10" t="n"/>
      <c r="F13" s="10" t="n"/>
    </row>
    <row r="14">
      <c r="B14" s="7" t="n"/>
      <c r="C14" s="10" t="n"/>
      <c r="D14" s="10" t="n"/>
      <c r="E14" s="10" t="n"/>
      <c r="F14" s="10" t="n"/>
    </row>
    <row r="15">
      <c r="B15" s="7" t="n"/>
      <c r="C15" s="10" t="n"/>
      <c r="D15" s="10" t="n"/>
      <c r="E15" s="10" t="n"/>
      <c r="F15" s="10" t="n"/>
      <c r="K15" t="inlineStr">
        <is>
          <t>Ammount</t>
        </is>
      </c>
      <c r="L15" t="inlineStr">
        <is>
          <t>Invested</t>
        </is>
      </c>
      <c r="M15" t="inlineStr">
        <is>
          <t>avarage price</t>
        </is>
      </c>
    </row>
    <row r="16">
      <c r="B16" s="7" t="n"/>
      <c r="C16" s="10" t="n"/>
      <c r="D16" s="10" t="n"/>
      <c r="E16" s="10" t="n"/>
      <c r="F16" s="10" t="n"/>
      <c r="K16">
        <f>SUM($H1:$H32)</f>
        <v/>
      </c>
      <c r="L16">
        <f>-SUM($I1:$I32)</f>
        <v/>
      </c>
      <c r="M16">
        <f>L16/K16</f>
        <v/>
      </c>
    </row>
  </sheetData>
  <mergeCells count="1">
    <mergeCell ref="B3:F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3:M16"/>
  <sheetViews>
    <sheetView workbookViewId="0">
      <selection activeCell="E25" sqref="E25"/>
    </sheetView>
  </sheetViews>
  <sheetFormatPr baseColWidth="8" defaultRowHeight="14.4"/>
  <cols>
    <col width="36.109375" customWidth="1" style="6" min="1" max="1"/>
    <col width="18.6640625" customWidth="1" style="6" min="2" max="2"/>
    <col width="9.6640625" customWidth="1" style="6" min="3" max="3"/>
    <col width="14.44140625" customWidth="1" style="6" min="7" max="7"/>
  </cols>
  <sheetData>
    <row r="3">
      <c r="B3" s="58" t="inlineStr">
        <is>
          <t>DAO</t>
        </is>
      </c>
    </row>
    <row r="4">
      <c r="A4" s="5" t="inlineStr">
        <is>
          <t>Descripton</t>
        </is>
      </c>
      <c r="B4" s="10" t="inlineStr">
        <is>
          <t>Date &amp; Time</t>
        </is>
      </c>
      <c r="C4" s="10" t="inlineStr">
        <is>
          <t>Ammount</t>
        </is>
      </c>
      <c r="D4" s="10" t="inlineStr">
        <is>
          <t>Cost(USD)</t>
        </is>
      </c>
      <c r="E4" s="10" t="inlineStr">
        <is>
          <t>Price(USD)</t>
        </is>
      </c>
      <c r="F4" s="10" t="inlineStr">
        <is>
          <t>Action</t>
        </is>
      </c>
      <c r="G4" s="10" t="inlineStr">
        <is>
          <t>Platform</t>
        </is>
      </c>
    </row>
    <row r="5" ht="28.8" customHeight="1" s="6">
      <c r="A5" s="51" t="inlineStr">
        <is>
          <t>Buyed not for speculation porpos, but to
 stake in DAO maker lauchpad</t>
        </is>
      </c>
      <c r="B5" s="7" t="n">
        <v>45346.55555555555</v>
      </c>
      <c r="C5" s="52" t="n">
        <v>260.8</v>
      </c>
      <c r="D5" s="18" t="n">
        <v>241.344</v>
      </c>
      <c r="E5" s="18">
        <f>D5/C5</f>
        <v/>
      </c>
      <c r="F5" s="18" t="inlineStr">
        <is>
          <t>BUY</t>
        </is>
      </c>
      <c r="G5" s="18" t="inlineStr">
        <is>
          <t>Gate.io(CEX)</t>
        </is>
      </c>
      <c r="H5" s="59">
        <f>IF($F5="BUY",C5,-C5)</f>
        <v/>
      </c>
      <c r="I5" s="59">
        <f>IF($F5="BUY",-D5,D5)</f>
        <v/>
      </c>
    </row>
    <row r="6">
      <c r="A6" s="5" t="n"/>
      <c r="B6" s="7" t="n"/>
      <c r="C6" s="10" t="n"/>
      <c r="D6" s="5" t="n"/>
      <c r="E6" s="10" t="n"/>
      <c r="F6" s="10" t="n"/>
      <c r="G6" s="10" t="n"/>
    </row>
    <row r="7">
      <c r="A7" s="5" t="n"/>
      <c r="B7" s="7" t="n"/>
      <c r="C7" s="10" t="n"/>
      <c r="D7" s="10" t="n"/>
      <c r="E7" s="10" t="n"/>
      <c r="F7" s="10" t="n"/>
      <c r="G7" s="5" t="n"/>
    </row>
    <row r="8">
      <c r="B8" s="49" t="n"/>
      <c r="C8" s="37" t="n"/>
      <c r="D8" s="37" t="n"/>
      <c r="E8" s="37" t="n"/>
      <c r="F8" s="37" t="n"/>
    </row>
    <row r="9">
      <c r="B9" s="7" t="n"/>
      <c r="C9" s="10" t="n"/>
      <c r="D9" s="10" t="n"/>
      <c r="E9" s="10" t="n"/>
      <c r="F9" s="10" t="n"/>
    </row>
    <row r="10">
      <c r="B10" s="7" t="n"/>
      <c r="C10" s="10" t="n"/>
      <c r="D10" s="10" t="n"/>
      <c r="E10" s="10" t="n"/>
      <c r="F10" s="10" t="n"/>
    </row>
    <row r="11">
      <c r="B11" s="7" t="n"/>
      <c r="C11" s="10" t="n"/>
      <c r="D11" s="10" t="n"/>
      <c r="E11" s="10" t="n"/>
      <c r="F11" s="10" t="n"/>
    </row>
    <row r="12">
      <c r="B12" s="7" t="n"/>
      <c r="C12" s="10" t="n"/>
      <c r="D12" s="10" t="n"/>
      <c r="E12" s="10" t="n"/>
      <c r="F12" s="10" t="n"/>
    </row>
    <row r="13">
      <c r="B13" s="7" t="n"/>
      <c r="C13" s="10" t="n"/>
      <c r="D13" s="10" t="n"/>
      <c r="E13" s="10" t="n"/>
      <c r="F13" s="10" t="n"/>
    </row>
    <row r="14">
      <c r="B14" s="7" t="n"/>
      <c r="C14" s="10" t="n"/>
      <c r="D14" s="10" t="n"/>
      <c r="E14" s="10" t="n"/>
      <c r="F14" s="10" t="n"/>
    </row>
    <row r="15">
      <c r="B15" s="7" t="n"/>
      <c r="C15" s="10" t="n"/>
      <c r="D15" s="10" t="n"/>
      <c r="E15" s="10" t="n"/>
      <c r="F15" s="10" t="n"/>
      <c r="K15" t="inlineStr">
        <is>
          <t>Ammount</t>
        </is>
      </c>
      <c r="L15" t="inlineStr">
        <is>
          <t>Invested</t>
        </is>
      </c>
      <c r="M15" t="inlineStr">
        <is>
          <t>avarage price</t>
        </is>
      </c>
    </row>
    <row r="16">
      <c r="B16" s="7" t="n"/>
      <c r="C16" s="10" t="n"/>
      <c r="D16" s="10" t="n"/>
      <c r="E16" s="10" t="n"/>
      <c r="F16" s="10" t="n"/>
      <c r="K16">
        <f>SUM($H1:$H32)</f>
        <v/>
      </c>
      <c r="L16">
        <f>-SUM($I1:$I32)</f>
        <v/>
      </c>
      <c r="M16">
        <f>L16/K16</f>
        <v/>
      </c>
    </row>
  </sheetData>
  <mergeCells count="1">
    <mergeCell ref="B3:F3"/>
  </mergeCells>
  <pageMargins left="0.7" right="0.7" top="0.75" bottom="0.75" header="0.3" footer="0.3"/>
  <pageSetup orientation="portrait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3:M16"/>
  <sheetViews>
    <sheetView workbookViewId="0">
      <selection activeCell="G27" sqref="G27"/>
    </sheetView>
  </sheetViews>
  <sheetFormatPr baseColWidth="8" defaultRowHeight="14.4"/>
  <cols>
    <col width="16" bestFit="1" customWidth="1" style="6" min="1" max="1"/>
    <col width="14.6640625" bestFit="1" customWidth="1" style="6" min="2" max="2"/>
    <col width="12" bestFit="1" customWidth="1" style="6" min="3" max="3"/>
    <col width="12" bestFit="1" customWidth="1" style="6" min="5" max="5"/>
    <col width="12.77734375" bestFit="1" customWidth="1" style="6" min="7" max="7"/>
  </cols>
  <sheetData>
    <row r="3">
      <c r="B3" s="58" t="inlineStr">
        <is>
          <t>CWIF</t>
        </is>
      </c>
    </row>
    <row r="4">
      <c r="A4" s="5" t="inlineStr">
        <is>
          <t>Descripton</t>
        </is>
      </c>
      <c r="B4" s="10" t="inlineStr">
        <is>
          <t>Date &amp; Time</t>
        </is>
      </c>
      <c r="C4" s="10" t="inlineStr">
        <is>
          <t>Ammount</t>
        </is>
      </c>
      <c r="D4" s="10" t="inlineStr">
        <is>
          <t>Cost(USD)</t>
        </is>
      </c>
      <c r="E4" s="10" t="inlineStr">
        <is>
          <t>Price(USD)</t>
        </is>
      </c>
      <c r="F4" s="10" t="inlineStr">
        <is>
          <t>Action</t>
        </is>
      </c>
      <c r="G4" s="10" t="inlineStr">
        <is>
          <t>Platform</t>
        </is>
      </c>
      <c r="H4" s="5" t="n"/>
      <c r="I4" s="5" t="n"/>
    </row>
    <row r="5">
      <c r="A5" s="51" t="n"/>
      <c r="B5" s="7" t="n">
        <v>45388.46736111111</v>
      </c>
      <c r="C5" s="18" t="n">
        <v>296958855.09</v>
      </c>
      <c r="D5" s="18" t="n">
        <v>100</v>
      </c>
      <c r="E5" s="18">
        <f>D5/C5</f>
        <v/>
      </c>
      <c r="F5" s="18" t="inlineStr">
        <is>
          <t>BUY</t>
        </is>
      </c>
      <c r="G5" s="18" t="inlineStr">
        <is>
          <t>BITMART(CEX)</t>
        </is>
      </c>
      <c r="H5" s="18">
        <f>IF($F5="BUY",C5,-C5)</f>
        <v/>
      </c>
      <c r="I5" s="18">
        <f>IF($F5="BUY",-D5,D5)</f>
        <v/>
      </c>
    </row>
    <row r="6">
      <c r="A6" s="5" t="inlineStr">
        <is>
          <t>Buying for jonatan</t>
        </is>
      </c>
      <c r="B6" s="7" t="n">
        <v>45394.80416666667</v>
      </c>
      <c r="C6" s="18" t="n">
        <v>165071557.22</v>
      </c>
      <c r="D6" s="18" t="n">
        <v>50</v>
      </c>
      <c r="E6" s="18">
        <f>D6/C6</f>
        <v/>
      </c>
      <c r="F6" s="18" t="inlineStr">
        <is>
          <t>BUY</t>
        </is>
      </c>
      <c r="G6" s="18" t="inlineStr">
        <is>
          <t>BITMART(CEX)</t>
        </is>
      </c>
      <c r="H6" s="18">
        <f>IF($F6="BUY",C6,-C6)</f>
        <v/>
      </c>
      <c r="I6" s="18">
        <f>IF($F6="BUY",-D6,D6)</f>
        <v/>
      </c>
    </row>
    <row r="7">
      <c r="A7" s="5" t="n"/>
      <c r="B7" s="7" t="n">
        <v>45418.74583333333</v>
      </c>
      <c r="C7" s="18" t="n">
        <v>462030412.3</v>
      </c>
      <c r="D7" s="18" t="n">
        <v>166.33</v>
      </c>
      <c r="E7" s="18">
        <f>D7/C7</f>
        <v/>
      </c>
      <c r="F7" s="18" t="inlineStr">
        <is>
          <t>SELL</t>
        </is>
      </c>
      <c r="G7" s="18" t="inlineStr">
        <is>
          <t>BITMART(CEX)</t>
        </is>
      </c>
      <c r="H7" s="18">
        <f>IF($F7="BUY",C7,-C7)</f>
        <v/>
      </c>
      <c r="I7" s="18">
        <f>IF($F7="BUY",-D7,D7)</f>
        <v/>
      </c>
    </row>
    <row r="8" ht="15" customHeight="1" s="6">
      <c r="A8" s="5" t="n"/>
      <c r="B8" s="7" t="n">
        <v>45460.90208333333</v>
      </c>
      <c r="C8" s="18" t="n">
        <v>66773048</v>
      </c>
      <c r="D8" s="55" t="n">
        <v>75</v>
      </c>
      <c r="E8" s="18">
        <f>D8/C8</f>
        <v/>
      </c>
      <c r="F8" s="18" t="inlineStr">
        <is>
          <t>BUY</t>
        </is>
      </c>
      <c r="G8" s="18" t="inlineStr">
        <is>
          <t>BITMART(CEX)</t>
        </is>
      </c>
      <c r="H8" s="18">
        <f>IF($F8="BUY",C8,-C8)</f>
        <v/>
      </c>
      <c r="I8" s="18">
        <f>IF($F8="BUY",-D8,D8)</f>
        <v/>
      </c>
    </row>
    <row r="9">
      <c r="A9" s="5" t="n"/>
      <c r="B9" s="7" t="n">
        <v>45474.92013888889</v>
      </c>
      <c r="C9" s="54" t="n">
        <v>60141077</v>
      </c>
      <c r="D9" s="10" t="n">
        <v>50</v>
      </c>
      <c r="E9" s="18">
        <f>D9/C9</f>
        <v/>
      </c>
      <c r="F9" s="18" t="inlineStr">
        <is>
          <t>BUY</t>
        </is>
      </c>
      <c r="G9" s="18" t="inlineStr">
        <is>
          <t>BITMART(CEX)</t>
        </is>
      </c>
      <c r="H9" s="18">
        <f>IF($F9="BUY",C9,-C9)</f>
        <v/>
      </c>
      <c r="I9" s="18">
        <f>IF($F9="BUY",-D9,D9)</f>
        <v/>
      </c>
    </row>
    <row r="10" ht="15" customHeight="1" s="6">
      <c r="A10" s="5" t="n"/>
      <c r="B10" s="7" t="n">
        <v>45484.34375</v>
      </c>
      <c r="C10" s="54" t="n">
        <v>92431761</v>
      </c>
      <c r="D10" s="55" t="n">
        <v>46</v>
      </c>
      <c r="E10" s="18">
        <f>D10/C10</f>
        <v/>
      </c>
      <c r="F10" s="18" t="inlineStr">
        <is>
          <t>BUY</t>
        </is>
      </c>
      <c r="G10" s="18" t="inlineStr">
        <is>
          <t>BITMART(CEX)</t>
        </is>
      </c>
      <c r="H10" s="18">
        <f>IF($F10="BUY",C10,-C10)</f>
        <v/>
      </c>
      <c r="I10" s="18">
        <f>IF($F10="BUY",-D10,D10)</f>
        <v/>
      </c>
    </row>
    <row r="11">
      <c r="A11" s="5" t="n"/>
      <c r="B11" s="7" t="n"/>
      <c r="C11" s="10" t="n"/>
      <c r="D11" s="10" t="n"/>
      <c r="E11" s="10" t="n"/>
      <c r="F11" s="10" t="n"/>
      <c r="G11" s="5" t="n"/>
      <c r="H11" s="5" t="n"/>
      <c r="I11" s="5" t="n"/>
    </row>
    <row r="12">
      <c r="A12" s="5" t="n"/>
      <c r="B12" s="7" t="n"/>
      <c r="C12" s="10" t="n"/>
      <c r="D12" s="10" t="n"/>
      <c r="E12" s="10" t="n"/>
      <c r="F12" s="10" t="n"/>
      <c r="G12" s="5" t="n"/>
      <c r="H12" s="5" t="n"/>
      <c r="I12" s="5" t="n"/>
    </row>
    <row r="13">
      <c r="A13" s="5" t="n"/>
      <c r="B13" s="7" t="n"/>
      <c r="C13" s="10" t="n"/>
      <c r="D13" s="10" t="n"/>
      <c r="E13" s="10" t="n"/>
      <c r="F13" s="10" t="n"/>
      <c r="G13" s="5" t="n"/>
      <c r="H13" s="5" t="n"/>
      <c r="I13" s="5" t="n"/>
    </row>
    <row r="14">
      <c r="A14" s="5" t="n"/>
      <c r="B14" s="7" t="n"/>
      <c r="C14" s="10" t="n"/>
      <c r="D14" s="10" t="n"/>
      <c r="E14" s="10" t="n"/>
      <c r="F14" s="10" t="n"/>
      <c r="G14" s="5" t="n"/>
      <c r="H14" s="5" t="n"/>
      <c r="I14" s="5" t="n"/>
    </row>
    <row r="15">
      <c r="A15" s="5" t="n"/>
      <c r="B15" s="7" t="n"/>
      <c r="C15" s="10" t="n"/>
      <c r="D15" s="10" t="n"/>
      <c r="E15" s="10" t="n"/>
      <c r="F15" s="10" t="n"/>
      <c r="G15" s="5" t="n"/>
      <c r="H15" s="5" t="n"/>
      <c r="I15" s="5" t="n"/>
      <c r="K15" t="inlineStr">
        <is>
          <t>Ammount</t>
        </is>
      </c>
      <c r="L15" t="inlineStr">
        <is>
          <t>Invested</t>
        </is>
      </c>
      <c r="M15" t="inlineStr">
        <is>
          <t>avarage price</t>
        </is>
      </c>
    </row>
    <row r="16">
      <c r="A16" s="5" t="n"/>
      <c r="B16" s="7" t="n"/>
      <c r="C16" s="10" t="n"/>
      <c r="D16" s="10" t="n"/>
      <c r="E16" s="10" t="n"/>
      <c r="F16" s="10" t="n"/>
      <c r="G16" s="5" t="n"/>
      <c r="H16" s="5" t="n"/>
      <c r="I16" s="5" t="n"/>
      <c r="K16">
        <f>SUM($H1:$H32)</f>
        <v/>
      </c>
      <c r="L16">
        <f>-SUM($I1:$I32)</f>
        <v/>
      </c>
      <c r="M16">
        <f>L16/K16</f>
        <v/>
      </c>
    </row>
  </sheetData>
  <mergeCells count="1">
    <mergeCell ref="B3:F3"/>
  </mergeCells>
  <pageMargins left="0.7" right="0.7" top="0.75" bottom="0.75" header="0.3" footer="0.3"/>
  <pageSetup orientation="portrait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4:Q14"/>
  <sheetViews>
    <sheetView workbookViewId="0">
      <selection activeCell="I24" sqref="I24"/>
    </sheetView>
  </sheetViews>
  <sheetFormatPr baseColWidth="8" defaultRowHeight="14.4"/>
  <cols>
    <col width="17.88671875" bestFit="1" customWidth="1" style="6" min="1" max="1"/>
  </cols>
  <sheetData>
    <row r="4">
      <c r="A4" s="23" t="inlineStr">
        <is>
          <t>Crypto</t>
        </is>
      </c>
      <c r="B4" s="24" t="inlineStr">
        <is>
          <t>SOL</t>
        </is>
      </c>
      <c r="C4" s="24" t="inlineStr">
        <is>
          <t>MATIC</t>
        </is>
      </c>
      <c r="D4" s="24" t="inlineStr">
        <is>
          <t>FIL</t>
        </is>
      </c>
      <c r="E4" s="24" t="inlineStr">
        <is>
          <t>AVAX</t>
        </is>
      </c>
      <c r="F4" s="24" t="inlineStr">
        <is>
          <t>SRM</t>
        </is>
      </c>
      <c r="G4" s="24" t="inlineStr">
        <is>
          <t>GALA</t>
        </is>
      </c>
      <c r="H4" s="24" t="inlineStr">
        <is>
          <t>CAKE</t>
        </is>
      </c>
      <c r="I4" s="24" t="inlineStr">
        <is>
          <t>LINK</t>
        </is>
      </c>
      <c r="J4" s="24" t="inlineStr">
        <is>
          <t>BAKE</t>
        </is>
      </c>
      <c r="K4" s="24" t="inlineStr">
        <is>
          <t>BSW</t>
        </is>
      </c>
      <c r="L4" s="24" t="inlineStr">
        <is>
          <t>BNB</t>
        </is>
      </c>
      <c r="M4" s="24" t="inlineStr">
        <is>
          <t>OP</t>
        </is>
      </c>
      <c r="N4" s="24" t="inlineStr">
        <is>
          <t>HBAR</t>
        </is>
      </c>
      <c r="O4" s="24" t="inlineStr">
        <is>
          <t>ATOM</t>
        </is>
      </c>
      <c r="P4" s="24" t="inlineStr">
        <is>
          <t>MOS</t>
        </is>
      </c>
      <c r="Q4" s="24" t="inlineStr">
        <is>
          <t>AXS</t>
        </is>
      </c>
    </row>
    <row r="5">
      <c r="A5" s="23" t="inlineStr">
        <is>
          <t>I have</t>
        </is>
      </c>
      <c r="B5" s="18" t="n">
        <v>3.4</v>
      </c>
      <c r="C5" s="18" t="n">
        <v>24</v>
      </c>
      <c r="D5" s="18" t="n">
        <v>13.37</v>
      </c>
      <c r="E5" s="18" t="n">
        <v>4</v>
      </c>
      <c r="F5" s="18" t="n">
        <v>410</v>
      </c>
      <c r="G5" s="18" t="n">
        <v>478</v>
      </c>
      <c r="H5" s="18" t="n">
        <v>31</v>
      </c>
      <c r="I5" s="18" t="n">
        <v>9.35</v>
      </c>
      <c r="J5" s="18" t="n">
        <v>170</v>
      </c>
      <c r="K5" s="18" t="n">
        <v>500</v>
      </c>
      <c r="L5" s="18" t="n">
        <v>0.1</v>
      </c>
      <c r="M5" s="18" t="n">
        <v>0</v>
      </c>
      <c r="N5" s="18" t="n">
        <v>761</v>
      </c>
      <c r="O5" s="18" t="n">
        <v>2.566</v>
      </c>
      <c r="P5" s="10" t="n">
        <v>350</v>
      </c>
      <c r="Q5" s="10" t="n">
        <v>4.62</v>
      </c>
    </row>
    <row r="6">
      <c r="A6" s="23" t="inlineStr">
        <is>
          <t>Target amount</t>
        </is>
      </c>
      <c r="B6" s="18" t="n">
        <v>20</v>
      </c>
      <c r="C6" s="18" t="n">
        <v>300</v>
      </c>
      <c r="D6" s="18" t="n">
        <v>20</v>
      </c>
      <c r="E6" s="18" t="n">
        <v>10</v>
      </c>
      <c r="F6" s="18" t="n">
        <v>150</v>
      </c>
      <c r="G6" s="18" t="n">
        <v>1000</v>
      </c>
      <c r="H6" s="18">
        <f>18+7.5+5.5</f>
        <v/>
      </c>
      <c r="I6" s="18" t="n">
        <v>20</v>
      </c>
      <c r="J6" s="18" t="n">
        <v>200</v>
      </c>
      <c r="K6" s="18" t="n">
        <v>500</v>
      </c>
      <c r="L6" s="18" t="n">
        <v>0.1</v>
      </c>
      <c r="M6" s="18" t="n">
        <v>50</v>
      </c>
      <c r="N6" s="18" t="n">
        <v>2000</v>
      </c>
      <c r="O6" s="18" t="n">
        <v>10</v>
      </c>
      <c r="P6" s="10" t="n">
        <v>350</v>
      </c>
      <c r="Q6" s="10" t="n">
        <v>4.5</v>
      </c>
    </row>
    <row r="7">
      <c r="A7" s="23" t="inlineStr">
        <is>
          <t>AVG price</t>
        </is>
      </c>
      <c r="B7" s="18" t="n">
        <v>20</v>
      </c>
      <c r="C7" s="18" t="n">
        <v>1</v>
      </c>
      <c r="D7" s="18" t="n">
        <v>5</v>
      </c>
      <c r="E7" s="18" t="n">
        <v>18</v>
      </c>
      <c r="F7" s="18" t="n">
        <v>0.25</v>
      </c>
      <c r="G7" s="18" t="n">
        <v>0.025</v>
      </c>
      <c r="H7" s="18" t="n">
        <v>5</v>
      </c>
      <c r="I7" s="18" t="n">
        <v>6</v>
      </c>
      <c r="J7" s="18" t="n">
        <v>0.2</v>
      </c>
      <c r="K7" s="18" t="n">
        <v>0.2</v>
      </c>
      <c r="L7" s="18" t="n">
        <v>280</v>
      </c>
      <c r="M7" s="18" t="n">
        <v>1</v>
      </c>
      <c r="N7" s="18" t="n">
        <v>0.05</v>
      </c>
      <c r="O7" s="18" t="n">
        <v>10</v>
      </c>
      <c r="P7" s="10" t="n">
        <v>0.7141999999999999</v>
      </c>
      <c r="Q7" s="10" t="n">
        <v>25</v>
      </c>
    </row>
    <row r="8">
      <c r="A8" s="23" t="inlineStr">
        <is>
          <t>Total Invested</t>
        </is>
      </c>
      <c r="B8" s="18">
        <f>B6*B7</f>
        <v/>
      </c>
      <c r="C8" s="18">
        <f>C6*C7</f>
        <v/>
      </c>
      <c r="D8" s="18">
        <f>D6*D7</f>
        <v/>
      </c>
      <c r="E8" s="18">
        <f>E6*E7</f>
        <v/>
      </c>
      <c r="F8" s="18">
        <f>F6*F7</f>
        <v/>
      </c>
      <c r="G8" s="18">
        <f>G6*G7</f>
        <v/>
      </c>
      <c r="H8" s="18">
        <f>H6*H7</f>
        <v/>
      </c>
      <c r="I8" s="18">
        <f>I6*I7</f>
        <v/>
      </c>
      <c r="J8" s="18">
        <f>J6*J7</f>
        <v/>
      </c>
      <c r="K8" s="18">
        <f>K6*K7</f>
        <v/>
      </c>
      <c r="L8" s="18">
        <f>L6*L7</f>
        <v/>
      </c>
      <c r="M8" s="18">
        <f>M6*M7</f>
        <v/>
      </c>
      <c r="N8" s="18">
        <f>N6*N7</f>
        <v/>
      </c>
      <c r="O8" s="18">
        <f>O6*O7</f>
        <v/>
      </c>
      <c r="P8" s="18">
        <f>P6*P7</f>
        <v/>
      </c>
      <c r="Q8" s="18">
        <f>Q6*Q7</f>
        <v/>
      </c>
    </row>
    <row r="9">
      <c r="A9" s="23" t="inlineStr">
        <is>
          <t>Money needed</t>
        </is>
      </c>
      <c r="B9" s="18">
        <f>(B6-B5)*B7</f>
        <v/>
      </c>
      <c r="C9" s="18">
        <f>(C6-C5)*C7</f>
        <v/>
      </c>
      <c r="D9" s="18">
        <f>(D6-D5)*D7</f>
        <v/>
      </c>
      <c r="E9" s="18">
        <f>(E6-E5)*E7</f>
        <v/>
      </c>
      <c r="F9" s="18">
        <f>(F6-F5)*F7</f>
        <v/>
      </c>
      <c r="G9" s="18">
        <f>(G6-G5)*G7</f>
        <v/>
      </c>
      <c r="H9" s="18">
        <f>(H6-H5)*H7</f>
        <v/>
      </c>
      <c r="I9" s="18">
        <f>(I6-I5)*I7</f>
        <v/>
      </c>
      <c r="J9" s="18">
        <f>(J6-J5)*J7</f>
        <v/>
      </c>
      <c r="K9" s="18">
        <f>(K6-K5)*K7</f>
        <v/>
      </c>
      <c r="L9" s="18">
        <f>(L6-L5)*L7</f>
        <v/>
      </c>
      <c r="M9" s="18">
        <f>(M6-M5)*M7</f>
        <v/>
      </c>
      <c r="N9" s="18">
        <f>(N6-N5)*N7</f>
        <v/>
      </c>
      <c r="O9" s="18">
        <f>(O6-O5)*O7</f>
        <v/>
      </c>
      <c r="P9" s="18">
        <f>(P6-P5)*P7</f>
        <v/>
      </c>
      <c r="Q9" s="18">
        <f>(Q6-Q5)*Q7</f>
        <v/>
      </c>
    </row>
    <row r="10">
      <c r="A10" s="23" t="inlineStr">
        <is>
          <t>Target price</t>
        </is>
      </c>
      <c r="B10" s="18" t="n">
        <v>200</v>
      </c>
      <c r="C10" s="18" t="n">
        <v>10</v>
      </c>
      <c r="D10" s="18" t="n">
        <v>100</v>
      </c>
      <c r="E10" s="18" t="n">
        <v>200</v>
      </c>
      <c r="F10" s="18" t="n">
        <v>4</v>
      </c>
      <c r="G10" s="18" t="n">
        <v>1</v>
      </c>
      <c r="H10" s="18" t="n">
        <v>30</v>
      </c>
      <c r="I10" s="18" t="n">
        <v>50</v>
      </c>
      <c r="J10" s="18" t="n">
        <v>3</v>
      </c>
      <c r="K10" s="18" t="n">
        <v>2</v>
      </c>
      <c r="L10" s="18" t="n">
        <v>1000</v>
      </c>
      <c r="M10" s="18" t="n">
        <v>20</v>
      </c>
      <c r="N10" s="18" t="n">
        <v>1</v>
      </c>
      <c r="O10" s="10" t="n">
        <v>150</v>
      </c>
      <c r="P10" s="10" t="n">
        <v>10</v>
      </c>
      <c r="Q10" s="10" t="n">
        <v>40</v>
      </c>
    </row>
    <row r="11">
      <c r="A11" s="23" t="inlineStr">
        <is>
          <t>Expected wealth</t>
        </is>
      </c>
      <c r="B11" s="18">
        <f>B10*B5</f>
        <v/>
      </c>
      <c r="C11" s="18">
        <f>C10*C5</f>
        <v/>
      </c>
      <c r="D11" s="18">
        <f>D10*D5</f>
        <v/>
      </c>
      <c r="E11" s="18">
        <f>E10*E5</f>
        <v/>
      </c>
      <c r="F11" s="18">
        <f>F10*F5</f>
        <v/>
      </c>
      <c r="G11" s="18">
        <f>G10*G5</f>
        <v/>
      </c>
      <c r="H11" s="18">
        <f>H10*H5</f>
        <v/>
      </c>
      <c r="I11" s="18">
        <f>I10*I5</f>
        <v/>
      </c>
      <c r="J11" s="18">
        <f>J10*J5</f>
        <v/>
      </c>
      <c r="K11" s="18">
        <f>K10*K5</f>
        <v/>
      </c>
      <c r="L11" s="18">
        <f>L10*L5</f>
        <v/>
      </c>
      <c r="M11" s="18">
        <f>M10*M5</f>
        <v/>
      </c>
      <c r="N11" s="18">
        <f>N10*N5</f>
        <v/>
      </c>
      <c r="O11" s="18">
        <f>O10*O5</f>
        <v/>
      </c>
      <c r="P11" s="18">
        <f>P10*P5</f>
        <v/>
      </c>
      <c r="Q11" s="18">
        <f>Q10*Q5</f>
        <v/>
      </c>
    </row>
    <row r="12">
      <c r="A12" s="59" t="inlineStr">
        <is>
          <t>money needed</t>
        </is>
      </c>
      <c r="B12" s="59">
        <f>SUM(B9:V9)</f>
        <v/>
      </c>
      <c r="C12" s="59" t="n"/>
      <c r="D12" s="59" t="n"/>
      <c r="E12" s="59" t="n"/>
      <c r="F12" s="59" t="n"/>
      <c r="G12" s="59" t="n"/>
      <c r="H12" s="59" t="n"/>
      <c r="I12" s="59" t="n"/>
      <c r="J12" s="59" t="n"/>
      <c r="K12" s="59" t="n"/>
      <c r="L12" s="59" t="n"/>
      <c r="M12" s="59" t="n"/>
    </row>
    <row r="13">
      <c r="A13" s="59" t="inlineStr">
        <is>
          <t>Total invested</t>
        </is>
      </c>
      <c r="B13" s="59">
        <f>SUM(B8:N8)</f>
        <v/>
      </c>
      <c r="C13" s="59" t="n"/>
      <c r="D13" s="59" t="n"/>
      <c r="E13" s="59" t="n"/>
      <c r="F13" s="59" t="n"/>
      <c r="G13" s="59" t="n"/>
      <c r="H13" s="59" t="n"/>
      <c r="I13" s="59" t="n"/>
      <c r="J13" s="59" t="n"/>
      <c r="K13" s="59" t="n"/>
      <c r="L13" s="59" t="n"/>
      <c r="M13" s="59" t="n"/>
    </row>
    <row r="14">
      <c r="A14" s="34" t="inlineStr">
        <is>
          <t>Target wealth</t>
        </is>
      </c>
      <c r="B14">
        <f>SUM(B11:T11)</f>
        <v/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3:R21"/>
  <sheetViews>
    <sheetView workbookViewId="0">
      <selection activeCell="H26" sqref="H26"/>
    </sheetView>
  </sheetViews>
  <sheetFormatPr baseColWidth="8" defaultRowHeight="14.4"/>
  <cols>
    <col width="20.5546875" bestFit="1" customWidth="1" style="6" min="1" max="1"/>
    <col width="22.109375" bestFit="1" customWidth="1" style="6" min="2" max="2"/>
  </cols>
  <sheetData>
    <row r="3">
      <c r="B3" s="23" t="inlineStr">
        <is>
          <t>Crypto</t>
        </is>
      </c>
      <c r="C3" s="24" t="inlineStr">
        <is>
          <t>SOL</t>
        </is>
      </c>
      <c r="D3" s="24" t="inlineStr">
        <is>
          <t>MATIC</t>
        </is>
      </c>
      <c r="E3" s="24" t="inlineStr">
        <is>
          <t>FIL</t>
        </is>
      </c>
      <c r="F3" s="24" t="inlineStr">
        <is>
          <t>AVAX</t>
        </is>
      </c>
      <c r="G3" s="24" t="inlineStr">
        <is>
          <t>SRM</t>
        </is>
      </c>
      <c r="H3" s="24" t="inlineStr">
        <is>
          <t>GALA</t>
        </is>
      </c>
      <c r="I3" s="24" t="inlineStr">
        <is>
          <t>CAKE</t>
        </is>
      </c>
      <c r="J3" s="24" t="inlineStr">
        <is>
          <t>LINK</t>
        </is>
      </c>
      <c r="K3" s="24" t="inlineStr">
        <is>
          <t>BAKE</t>
        </is>
      </c>
      <c r="L3" s="24" t="inlineStr">
        <is>
          <t>BSW</t>
        </is>
      </c>
      <c r="M3" s="24" t="inlineStr">
        <is>
          <t>BNB</t>
        </is>
      </c>
      <c r="N3" s="24" t="inlineStr">
        <is>
          <t>OP</t>
        </is>
      </c>
      <c r="O3" s="24" t="inlineStr">
        <is>
          <t>HBAR</t>
        </is>
      </c>
      <c r="P3" s="24" t="inlineStr">
        <is>
          <t>ATOM</t>
        </is>
      </c>
      <c r="Q3" s="24" t="inlineStr">
        <is>
          <t>AXS</t>
        </is>
      </c>
      <c r="R3" s="24" t="inlineStr">
        <is>
          <t>VET</t>
        </is>
      </c>
    </row>
    <row r="4">
      <c r="A4" s="59" t="inlineStr">
        <is>
          <t>Over the last 9 mounths</t>
        </is>
      </c>
      <c r="B4" s="59" t="inlineStr">
        <is>
          <t>Max value</t>
        </is>
      </c>
      <c r="C4" s="59" t="n">
        <v>46</v>
      </c>
      <c r="D4" s="59" t="n">
        <v>1.52</v>
      </c>
      <c r="E4" s="59" t="n">
        <v>9.800000000000001</v>
      </c>
      <c r="F4" s="59" t="n">
        <v>29.34</v>
      </c>
      <c r="G4" s="59" t="n">
        <v>1.1</v>
      </c>
      <c r="H4" s="59" t="n">
        <v>0.07000000000000001</v>
      </c>
      <c r="I4" s="59" t="n">
        <v>5</v>
      </c>
      <c r="J4" s="59" t="n">
        <v>9.33</v>
      </c>
      <c r="K4" s="59" t="n">
        <v>0.3745</v>
      </c>
      <c r="L4" s="59" t="n">
        <v>0.377</v>
      </c>
      <c r="M4" s="59" t="n">
        <v>380</v>
      </c>
      <c r="N4" s="59" t="n">
        <v>3.17</v>
      </c>
      <c r="O4" s="59" t="n">
        <v>0.091</v>
      </c>
      <c r="P4" s="59" t="n">
        <v>16.4</v>
      </c>
      <c r="Q4" s="59" t="n">
        <v>19</v>
      </c>
      <c r="R4" s="59" t="n"/>
    </row>
    <row r="5">
      <c r="A5" s="59" t="inlineStr">
        <is>
          <t>Over the last 9 mounths</t>
        </is>
      </c>
      <c r="B5" s="59" t="inlineStr">
        <is>
          <t>Min value</t>
        </is>
      </c>
      <c r="C5" s="59" t="n">
        <v>9.6</v>
      </c>
      <c r="D5" s="59" t="n">
        <v>0.35</v>
      </c>
      <c r="E5" s="59" t="n">
        <v>2.8</v>
      </c>
      <c r="F5" s="59" t="n">
        <v>10.9</v>
      </c>
      <c r="G5" s="59" t="n">
        <v>0.14</v>
      </c>
      <c r="H5" s="59" t="n">
        <v>0.0166</v>
      </c>
      <c r="I5" s="59" t="n">
        <v>3</v>
      </c>
      <c r="J5" s="59" t="n">
        <v>5.5</v>
      </c>
      <c r="K5" s="59" t="n">
        <v>0.125</v>
      </c>
      <c r="L5" s="59" t="n">
        <v>0.163</v>
      </c>
      <c r="M5" s="59" t="n">
        <v>180</v>
      </c>
      <c r="N5" s="59" t="n">
        <v>0.6</v>
      </c>
      <c r="O5" s="59" t="n">
        <v>0.038</v>
      </c>
      <c r="P5" s="59" t="n">
        <v>6</v>
      </c>
      <c r="Q5" s="59" t="n">
        <v>6</v>
      </c>
      <c r="R5" s="59" t="n"/>
    </row>
    <row r="6">
      <c r="A6" s="59" t="inlineStr">
        <is>
          <t>Over the last 9 mounths</t>
        </is>
      </c>
      <c r="B6" s="59" t="inlineStr">
        <is>
          <t>Perfomance</t>
        </is>
      </c>
      <c r="C6" s="59">
        <f>C4/C5</f>
        <v/>
      </c>
      <c r="D6" s="59">
        <f>D4/D5</f>
        <v/>
      </c>
      <c r="E6" s="59">
        <f>E4/E5</f>
        <v/>
      </c>
      <c r="F6" s="59">
        <f>F4/F5</f>
        <v/>
      </c>
      <c r="G6" s="59">
        <f>G4/G5</f>
        <v/>
      </c>
      <c r="H6" s="59">
        <f>H4/H5</f>
        <v/>
      </c>
      <c r="I6" s="59">
        <f>I4/I5</f>
        <v/>
      </c>
      <c r="J6" s="59">
        <f>J4/J5</f>
        <v/>
      </c>
      <c r="K6" s="59">
        <f>K4/K5</f>
        <v/>
      </c>
      <c r="L6" s="59">
        <f>L4/L5</f>
        <v/>
      </c>
      <c r="M6" s="59">
        <f>M4/M5</f>
        <v/>
      </c>
      <c r="N6" s="59">
        <f>N4/N5</f>
        <v/>
      </c>
      <c r="O6" s="59">
        <f>O4/O5</f>
        <v/>
      </c>
      <c r="P6" s="59">
        <f>P4/P5</f>
        <v/>
      </c>
      <c r="Q6" s="59">
        <f>Q4/Q5</f>
        <v/>
      </c>
      <c r="R6" s="59" t="n"/>
    </row>
    <row r="7">
      <c r="A7" s="59" t="inlineStr">
        <is>
          <t>Over the bulltrap</t>
        </is>
      </c>
      <c r="B7" s="59" t="inlineStr">
        <is>
          <t>Max value</t>
        </is>
      </c>
      <c r="C7" s="59" t="n">
        <v>26</v>
      </c>
      <c r="D7" s="59" t="n">
        <v>1.52</v>
      </c>
      <c r="E7" s="59" t="n">
        <v>8.58</v>
      </c>
      <c r="F7" s="59" t="n">
        <v>22</v>
      </c>
      <c r="G7" s="59" t="n">
        <v>0.6</v>
      </c>
      <c r="H7" s="59" t="n">
        <v>0.06</v>
      </c>
      <c r="I7" s="59" t="n">
        <v>4.7</v>
      </c>
      <c r="J7" s="59" t="n">
        <v>8.199999999999999</v>
      </c>
      <c r="K7" s="59" t="n">
        <v>0.29</v>
      </c>
      <c r="L7" s="59" t="n">
        <v>0.25</v>
      </c>
      <c r="M7" s="59" t="n">
        <v>346</v>
      </c>
      <c r="N7" s="59" t="n">
        <v>3.2</v>
      </c>
      <c r="O7" s="59" t="n">
        <v>0.091</v>
      </c>
      <c r="P7" s="59" t="n">
        <v>15.1</v>
      </c>
      <c r="Q7" s="59" t="n">
        <v>13</v>
      </c>
      <c r="R7" s="59" t="n">
        <v>0.0325</v>
      </c>
    </row>
    <row r="8">
      <c r="A8" s="59" t="inlineStr">
        <is>
          <t>Over the bulltrap</t>
        </is>
      </c>
      <c r="B8" s="59" t="inlineStr">
        <is>
          <t>Min value</t>
        </is>
      </c>
      <c r="C8" s="59" t="n">
        <v>9.5</v>
      </c>
      <c r="D8" s="59" t="n">
        <v>0.76</v>
      </c>
      <c r="E8" s="59" t="n">
        <v>2.8</v>
      </c>
      <c r="F8" s="59" t="n">
        <v>10.9</v>
      </c>
      <c r="G8" s="59" t="n">
        <v>0.13</v>
      </c>
      <c r="H8" s="59" t="n">
        <v>0.0165</v>
      </c>
      <c r="I8" s="59" t="n">
        <v>3.16</v>
      </c>
      <c r="J8" s="59" t="n">
        <v>5.5</v>
      </c>
      <c r="K8" s="59" t="n">
        <v>0.125</v>
      </c>
      <c r="L8" s="59" t="n">
        <v>0.161</v>
      </c>
      <c r="M8" s="59" t="n">
        <v>270</v>
      </c>
      <c r="N8" s="59" t="n">
        <v>0.634</v>
      </c>
      <c r="O8" s="59" t="n">
        <v>0.038</v>
      </c>
      <c r="P8" s="59" t="n">
        <v>8.6</v>
      </c>
      <c r="Q8" s="59" t="n">
        <v>6</v>
      </c>
      <c r="R8" s="59" t="n">
        <v>0.0153</v>
      </c>
    </row>
    <row r="9">
      <c r="A9" s="59" t="inlineStr">
        <is>
          <t>Over the bulltrap</t>
        </is>
      </c>
      <c r="B9" s="59" t="inlineStr">
        <is>
          <t>Perfomance</t>
        </is>
      </c>
      <c r="C9" s="59">
        <f>C7/C8</f>
        <v/>
      </c>
      <c r="D9" s="59">
        <f>D7/D8</f>
        <v/>
      </c>
      <c r="E9" s="59">
        <f>E7/E8</f>
        <v/>
      </c>
      <c r="F9" s="59">
        <f>F7/F8</f>
        <v/>
      </c>
      <c r="G9" s="59">
        <f>G7/G8</f>
        <v/>
      </c>
      <c r="H9" s="59">
        <f>H7/H8</f>
        <v/>
      </c>
      <c r="I9" s="59">
        <f>I7/I8</f>
        <v/>
      </c>
      <c r="J9" s="59">
        <f>J7/J8</f>
        <v/>
      </c>
      <c r="K9" s="59">
        <f>K7/K8</f>
        <v/>
      </c>
      <c r="L9" s="59">
        <f>L7/L8</f>
        <v/>
      </c>
      <c r="M9" s="59">
        <f>M7/M8</f>
        <v/>
      </c>
      <c r="N9" s="59">
        <f>N7/N8</f>
        <v/>
      </c>
      <c r="O9" s="59">
        <f>O7/O8</f>
        <v/>
      </c>
      <c r="P9" s="59">
        <f>P7/P8</f>
        <v/>
      </c>
      <c r="Q9" s="59">
        <f>Q7/Q8</f>
        <v/>
      </c>
      <c r="R9" s="59">
        <f>R7/R8</f>
        <v/>
      </c>
    </row>
    <row r="10">
      <c r="A10" s="59" t="n"/>
      <c r="B10" s="59" t="inlineStr">
        <is>
          <t>Acceptable</t>
        </is>
      </c>
      <c r="C10" s="59">
        <f>IF(C9&gt;=2,"OK","FAILED")</f>
        <v/>
      </c>
      <c r="D10" s="59">
        <f>IF(D9&gt;=2,"OK","FAILED")</f>
        <v/>
      </c>
      <c r="E10" s="59">
        <f>IF(E9&gt;=2,"OK","FAILED")</f>
        <v/>
      </c>
      <c r="F10" s="59">
        <f>IF(F9&gt;=2,"OK","FAILED")</f>
        <v/>
      </c>
      <c r="G10" s="59">
        <f>IF(G9&gt;=2,"OK","FAILED")</f>
        <v/>
      </c>
      <c r="H10" s="59">
        <f>IF(H9&gt;=2,"OK","FAILED")</f>
        <v/>
      </c>
      <c r="I10" s="59">
        <f>IF(I9&gt;=2,"OK","FAILED")</f>
        <v/>
      </c>
      <c r="J10" s="59">
        <f>IF(J9&gt;=2,"OK","FAILED")</f>
        <v/>
      </c>
      <c r="K10" s="59">
        <f>IF(K9&gt;=2,"OK","FAILED")</f>
        <v/>
      </c>
      <c r="L10" s="59">
        <f>IF(L9&gt;=2,"OK","FAILED")</f>
        <v/>
      </c>
      <c r="M10" s="59">
        <f>IF(M9&gt;=2,"OK","FAILED")</f>
        <v/>
      </c>
      <c r="N10" s="59">
        <f>IF(N9&gt;=2,"OK","FAILED")</f>
        <v/>
      </c>
      <c r="O10" s="59">
        <f>IF(O9&gt;=2,"OK","FAILED")</f>
        <v/>
      </c>
      <c r="P10" s="59">
        <f>IF(P9&gt;=2,"OK","FAILED")</f>
        <v/>
      </c>
      <c r="Q10" s="59">
        <f>IF(Q9&gt;=2,"OK","FAILED")</f>
        <v/>
      </c>
      <c r="R10" s="59">
        <f>IF(R9&gt;=2,"OK","FAILED")</f>
        <v/>
      </c>
    </row>
    <row r="11">
      <c r="A11" s="59" t="n"/>
      <c r="B11" s="59" t="inlineStr">
        <is>
          <t>Calculted expected target</t>
        </is>
      </c>
      <c r="C11" s="59">
        <f>C13*C9*$C21</f>
        <v/>
      </c>
      <c r="D11" s="59">
        <f>D13*D9*$C21</f>
        <v/>
      </c>
      <c r="E11" s="59">
        <f>E13*E9*$C21</f>
        <v/>
      </c>
      <c r="F11" s="59">
        <f>F13*F9*$C21</f>
        <v/>
      </c>
      <c r="G11" s="59">
        <f>G13*G9*$C21</f>
        <v/>
      </c>
      <c r="H11" s="59">
        <f>H13*H9*$C21</f>
        <v/>
      </c>
      <c r="I11" s="59">
        <f>I13*I9*$C21</f>
        <v/>
      </c>
      <c r="J11" s="59">
        <f>J13*J9*$C21</f>
        <v/>
      </c>
      <c r="K11" s="59">
        <f>K13*K9*$C21</f>
        <v/>
      </c>
      <c r="L11" s="59">
        <f>L13*L9*$C21</f>
        <v/>
      </c>
      <c r="M11" s="59">
        <f>M13*M9*$C21</f>
        <v/>
      </c>
      <c r="N11" s="59">
        <f>N13*N9*$C21</f>
        <v/>
      </c>
      <c r="O11" s="59">
        <f>O13*O9*$C21</f>
        <v/>
      </c>
      <c r="P11" s="59">
        <f>P13*P9*$C21</f>
        <v/>
      </c>
      <c r="Q11" s="59" t="n"/>
      <c r="R11" s="59" t="n"/>
    </row>
    <row r="12">
      <c r="A12" s="59" t="inlineStr">
        <is>
          <t>Next year</t>
        </is>
      </c>
      <c r="B12" s="59" t="inlineStr">
        <is>
          <t>Expected target</t>
        </is>
      </c>
      <c r="C12" s="59" t="n">
        <v>200</v>
      </c>
      <c r="D12" s="59" t="n">
        <v>10</v>
      </c>
      <c r="E12" s="59" t="n">
        <v>100</v>
      </c>
      <c r="F12" s="59" t="n">
        <v>150</v>
      </c>
      <c r="G12" s="59" t="n">
        <v>2</v>
      </c>
      <c r="H12" s="59" t="n">
        <v>0.5</v>
      </c>
      <c r="I12" s="59" t="n">
        <v>20</v>
      </c>
      <c r="J12" s="59" t="n">
        <v>40</v>
      </c>
      <c r="K12" s="59" t="n">
        <v>2</v>
      </c>
      <c r="L12" s="59" t="n">
        <v>1.5</v>
      </c>
      <c r="M12" s="59" t="n">
        <v>600</v>
      </c>
      <c r="N12" s="59" t="n">
        <v>50</v>
      </c>
      <c r="O12" s="59" t="n">
        <v>0.5</v>
      </c>
      <c r="P12" s="59" t="n">
        <v>100</v>
      </c>
      <c r="Q12" s="59" t="n"/>
      <c r="R12" s="59" t="n"/>
    </row>
    <row r="13">
      <c r="A13" s="59" t="n"/>
      <c r="B13" s="59" t="inlineStr">
        <is>
          <t>From profit</t>
        </is>
      </c>
      <c r="C13" s="59" t="n">
        <v>20</v>
      </c>
      <c r="D13" s="59" t="n">
        <v>1</v>
      </c>
      <c r="E13" s="59" t="n">
        <v>5</v>
      </c>
      <c r="F13" s="59" t="n">
        <v>18</v>
      </c>
      <c r="G13" s="59" t="n">
        <v>0.3</v>
      </c>
      <c r="H13" s="59" t="n">
        <v>0.035</v>
      </c>
      <c r="I13" s="59" t="n">
        <v>4</v>
      </c>
      <c r="J13" s="59" t="n">
        <v>5</v>
      </c>
      <c r="K13" s="59" t="n">
        <v>0.8</v>
      </c>
      <c r="L13" s="59" t="n">
        <v>0.4</v>
      </c>
      <c r="M13" s="59" t="n">
        <v>250</v>
      </c>
      <c r="N13" s="59" t="n">
        <v>2</v>
      </c>
      <c r="O13" s="59" t="n">
        <v>0.055</v>
      </c>
      <c r="P13" s="59" t="n">
        <v>12</v>
      </c>
      <c r="Q13" s="59" t="n"/>
      <c r="R13" s="59" t="n"/>
    </row>
    <row r="14">
      <c r="A14" s="59" t="inlineStr">
        <is>
          <t>Needed in the future</t>
        </is>
      </c>
      <c r="B14" s="59" t="inlineStr">
        <is>
          <t>Amount</t>
        </is>
      </c>
      <c r="C14" s="59" t="n">
        <v>5</v>
      </c>
      <c r="D14" s="59" t="n">
        <v>50</v>
      </c>
      <c r="E14" s="59" t="n">
        <v>15</v>
      </c>
      <c r="F14" s="59" t="n">
        <v>6</v>
      </c>
      <c r="G14" s="59" t="n">
        <v>2000</v>
      </c>
      <c r="H14" s="59" t="n">
        <v>3000</v>
      </c>
      <c r="I14" s="59" t="n">
        <v>30</v>
      </c>
      <c r="J14" s="59" t="n">
        <v>10</v>
      </c>
      <c r="K14" s="59" t="n">
        <v>300</v>
      </c>
      <c r="L14" s="59" t="n">
        <v>350</v>
      </c>
      <c r="M14" s="59" t="n">
        <v>0.1</v>
      </c>
      <c r="N14" s="59" t="n">
        <v>20</v>
      </c>
      <c r="O14" s="59" t="n">
        <v>3000</v>
      </c>
      <c r="P14" s="59" t="n">
        <v>10</v>
      </c>
    </row>
    <row r="15">
      <c r="B15" s="59" t="inlineStr">
        <is>
          <t>expected Value</t>
        </is>
      </c>
      <c r="C15">
        <f>C11*C14</f>
        <v/>
      </c>
      <c r="D15">
        <f>D11*D14</f>
        <v/>
      </c>
      <c r="E15">
        <f>E11*E14</f>
        <v/>
      </c>
      <c r="F15">
        <f>F11*F14</f>
        <v/>
      </c>
      <c r="G15">
        <f>G11*G14</f>
        <v/>
      </c>
      <c r="H15">
        <f>H11*H14</f>
        <v/>
      </c>
      <c r="I15">
        <f>I11*I14</f>
        <v/>
      </c>
      <c r="J15">
        <f>J11*J14</f>
        <v/>
      </c>
      <c r="K15">
        <f>K11*K14</f>
        <v/>
      </c>
      <c r="L15">
        <f>L11*L14</f>
        <v/>
      </c>
      <c r="M15">
        <f>M11*M14</f>
        <v/>
      </c>
      <c r="N15">
        <f>N11*N14</f>
        <v/>
      </c>
      <c r="O15">
        <f>O11*O14</f>
        <v/>
      </c>
      <c r="P15">
        <f>P11*P14</f>
        <v/>
      </c>
    </row>
    <row r="20">
      <c r="B20" t="inlineStr">
        <is>
          <t>total expected value</t>
        </is>
      </c>
      <c r="C20">
        <f>SUM(C15:P15)</f>
        <v/>
      </c>
    </row>
    <row r="21">
      <c r="C21" t="n">
        <v>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4:K21"/>
  <sheetViews>
    <sheetView workbookViewId="0">
      <selection activeCell="O19" sqref="O19"/>
    </sheetView>
  </sheetViews>
  <sheetFormatPr baseColWidth="8" defaultRowHeight="14.4"/>
  <cols>
    <col width="24.5546875" bestFit="1" customWidth="1" style="6" min="1" max="1"/>
    <col width="13.109375" bestFit="1" customWidth="1" style="6" min="7" max="7"/>
    <col width="18.44140625" bestFit="1" customWidth="1" style="6" min="10" max="10"/>
  </cols>
  <sheetData>
    <row r="4">
      <c r="E4" t="inlineStr">
        <is>
          <t>IN</t>
        </is>
      </c>
      <c r="H4" t="inlineStr">
        <is>
          <t>OUT</t>
        </is>
      </c>
      <c r="K4" t="inlineStr">
        <is>
          <t>present</t>
        </is>
      </c>
    </row>
    <row r="5">
      <c r="A5" s="19" t="inlineStr">
        <is>
          <t>22/02/2022  10:35:42 PM</t>
        </is>
      </c>
      <c r="B5" t="n">
        <v>60.35</v>
      </c>
      <c r="C5" t="inlineStr">
        <is>
          <t>USD</t>
        </is>
      </c>
      <c r="D5" t="n">
        <v>1</v>
      </c>
      <c r="E5">
        <f>B5*D5</f>
        <v/>
      </c>
      <c r="G5" t="inlineStr">
        <is>
          <t>mosaic project</t>
        </is>
      </c>
      <c r="H5" t="n">
        <v>252</v>
      </c>
      <c r="J5" t="inlineStr">
        <is>
          <t>Binance account</t>
        </is>
      </c>
      <c r="K5" t="n">
        <v>407</v>
      </c>
    </row>
    <row r="6">
      <c r="B6" t="n">
        <v>80.34</v>
      </c>
      <c r="C6" t="inlineStr">
        <is>
          <t>USD</t>
        </is>
      </c>
      <c r="D6" t="n">
        <v>1</v>
      </c>
      <c r="E6">
        <f>B6*D6</f>
        <v/>
      </c>
      <c r="G6" t="inlineStr">
        <is>
          <t>transfer</t>
        </is>
      </c>
      <c r="H6" t="n">
        <v>38.5</v>
      </c>
      <c r="J6" t="inlineStr">
        <is>
          <t>Bitget Account</t>
        </is>
      </c>
      <c r="K6" t="n">
        <v>29</v>
      </c>
    </row>
    <row r="7">
      <c r="A7" s="19" t="n">
        <v>44649</v>
      </c>
      <c r="B7" t="n">
        <v>60</v>
      </c>
      <c r="C7" t="inlineStr">
        <is>
          <t>EUR</t>
        </is>
      </c>
      <c r="D7" t="n">
        <v>1.1</v>
      </c>
      <c r="E7">
        <f>B7*D7</f>
        <v/>
      </c>
      <c r="G7" t="inlineStr">
        <is>
          <t>transfer</t>
        </is>
      </c>
      <c r="H7" t="n">
        <v>45</v>
      </c>
      <c r="J7" t="inlineStr">
        <is>
          <t>TrustWallet</t>
        </is>
      </c>
      <c r="K7" t="n">
        <v>223.96</v>
      </c>
    </row>
    <row r="8">
      <c r="B8" t="n">
        <v>250.76</v>
      </c>
      <c r="C8" t="inlineStr">
        <is>
          <t>USD</t>
        </is>
      </c>
      <c r="D8" t="n">
        <v>1</v>
      </c>
      <c r="E8">
        <f>B8*D8</f>
        <v/>
      </c>
      <c r="G8" t="inlineStr">
        <is>
          <t>transfer</t>
        </is>
      </c>
      <c r="H8" t="n">
        <v>44.2</v>
      </c>
      <c r="J8" t="inlineStr">
        <is>
          <t>PancakeSwap staking</t>
        </is>
      </c>
      <c r="K8">
        <f>53+29</f>
        <v/>
      </c>
    </row>
    <row r="9">
      <c r="B9" t="n">
        <v>100.33</v>
      </c>
      <c r="C9" t="inlineStr">
        <is>
          <t>USD</t>
        </is>
      </c>
      <c r="D9" t="n">
        <v>1</v>
      </c>
      <c r="E9">
        <f>B9*D9</f>
        <v/>
      </c>
      <c r="J9" t="inlineStr">
        <is>
          <t>BiswapStaking</t>
        </is>
      </c>
      <c r="K9">
        <f>38+74</f>
        <v/>
      </c>
    </row>
    <row r="10">
      <c r="A10" s="19" t="n">
        <v>44724</v>
      </c>
      <c r="B10" t="n">
        <v>81</v>
      </c>
      <c r="C10" t="inlineStr">
        <is>
          <t>EUR</t>
        </is>
      </c>
      <c r="D10" t="n">
        <v>1.05</v>
      </c>
      <c r="E10">
        <f>(B10-1)*D10</f>
        <v/>
      </c>
    </row>
    <row r="11">
      <c r="A11" s="19" t="n">
        <v>44731</v>
      </c>
      <c r="B11" t="n">
        <v>101</v>
      </c>
      <c r="C11" t="inlineStr">
        <is>
          <t>EUR</t>
        </is>
      </c>
      <c r="D11" t="n">
        <v>1.05</v>
      </c>
      <c r="E11">
        <f>(B11-1)*D11</f>
        <v/>
      </c>
    </row>
    <row r="12">
      <c r="A12" s="19" t="n">
        <v>44754</v>
      </c>
      <c r="B12" t="n">
        <v>151</v>
      </c>
      <c r="C12" t="inlineStr">
        <is>
          <t>EUR</t>
        </is>
      </c>
      <c r="D12" t="n">
        <v>1</v>
      </c>
      <c r="E12">
        <f>(B12-1)*D12</f>
        <v/>
      </c>
    </row>
    <row r="13">
      <c r="A13" s="19" t="n">
        <v>44813</v>
      </c>
      <c r="B13" t="n">
        <v>151</v>
      </c>
      <c r="C13" t="inlineStr">
        <is>
          <t>EUR</t>
        </is>
      </c>
      <c r="D13" t="n">
        <v>1.02</v>
      </c>
      <c r="E13">
        <f>(B13-1)*D13</f>
        <v/>
      </c>
    </row>
    <row r="14">
      <c r="A14" s="19" t="n">
        <v>44899</v>
      </c>
      <c r="B14" t="n">
        <v>151</v>
      </c>
      <c r="C14" t="inlineStr">
        <is>
          <t>EUR</t>
        </is>
      </c>
      <c r="D14" t="n">
        <v>1.05</v>
      </c>
      <c r="E14">
        <f>(B14-1)*D14</f>
        <v/>
      </c>
    </row>
    <row r="15">
      <c r="A15" s="19" t="n">
        <v>44914</v>
      </c>
      <c r="B15" t="n">
        <v>101</v>
      </c>
      <c r="C15" t="inlineStr">
        <is>
          <t>EUR</t>
        </is>
      </c>
      <c r="D15" t="n">
        <v>1.06</v>
      </c>
      <c r="E15">
        <f>(B15-1)*D15</f>
        <v/>
      </c>
    </row>
    <row r="17">
      <c r="G17" t="inlineStr">
        <is>
          <t>sum</t>
        </is>
      </c>
      <c r="H17" t="inlineStr">
        <is>
          <t>out sum</t>
        </is>
      </c>
      <c r="J17" t="inlineStr">
        <is>
          <t>present sum</t>
        </is>
      </c>
    </row>
    <row r="18">
      <c r="G18">
        <f>SUM(E5:E15)</f>
        <v/>
      </c>
      <c r="H18">
        <f>SUM(H5:H8)</f>
        <v/>
      </c>
      <c r="J18">
        <f>SUM(K5:K9)</f>
        <v/>
      </c>
    </row>
    <row r="21">
      <c r="G21">
        <f>G18-H18</f>
        <v/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B3:L5"/>
  <sheetViews>
    <sheetView workbookViewId="0">
      <selection activeCell="A1" sqref="A1"/>
    </sheetView>
  </sheetViews>
  <sheetFormatPr baseColWidth="8" defaultRowHeight="15"/>
  <sheetData>
    <row r="3">
      <c r="B3" s="59" t="inlineStr">
        <is>
          <t>BTC</t>
        </is>
      </c>
    </row>
    <row r="4">
      <c r="B4" s="61" t="inlineStr">
        <is>
          <t>Date &amp; Time</t>
        </is>
      </c>
      <c r="C4" s="61" t="inlineStr">
        <is>
          <t>Ammount</t>
        </is>
      </c>
      <c r="D4" s="61" t="inlineStr">
        <is>
          <t>Cost(USD)</t>
        </is>
      </c>
      <c r="E4" s="61" t="inlineStr">
        <is>
          <t>Price(USD)</t>
        </is>
      </c>
      <c r="F4" s="61" t="inlineStr">
        <is>
          <t>Action</t>
        </is>
      </c>
      <c r="G4" s="61" t="inlineStr">
        <is>
          <t>Fee</t>
        </is>
      </c>
      <c r="H4" t="inlineStr">
        <is>
          <t>Platform</t>
        </is>
      </c>
      <c r="I4" t="inlineStr">
        <is>
          <t>Wallet</t>
        </is>
      </c>
      <c r="J4" t="inlineStr">
        <is>
          <t>SUM(TOKEN)</t>
        </is>
      </c>
      <c r="K4" t="inlineStr">
        <is>
          <t>SUM(USD)</t>
        </is>
      </c>
      <c r="L4" t="inlineStr">
        <is>
          <t>Deposit wallet</t>
        </is>
      </c>
    </row>
    <row r="5"/>
  </sheetData>
  <mergeCells count="1">
    <mergeCell ref="B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2006-09-16T00:00:00Z</dcterms:created>
  <dcterms:modified xsi:type="dcterms:W3CDTF">2026-07-18T14:27:51Z</dcterms:modified>
</cp:coreProperties>
</file>