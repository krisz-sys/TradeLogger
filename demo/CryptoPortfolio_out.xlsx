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 firstSheet="32" activeTab="39"/>
  </bookViews>
  <sheets>
    <sheet name="GALA" sheetId="1" r:id="rId1"/>
    <sheet name="LINK" sheetId="2" r:id="rId2"/>
    <sheet name="BAKE" sheetId="3" r:id="rId3"/>
    <sheet name="AVAX" sheetId="4" r:id="rId4"/>
    <sheet name="SOL" sheetId="5" r:id="rId5"/>
    <sheet name="HBAR" sheetId="6" r:id="rId6"/>
    <sheet name="MANA" sheetId="7" r:id="rId7"/>
    <sheet name="ATOM" sheetId="8" r:id="rId8"/>
    <sheet name="BAT" sheetId="9" r:id="rId9"/>
    <sheet name="MOVR" sheetId="10" r:id="rId10"/>
    <sheet name="ICP" sheetId="11" r:id="rId11"/>
    <sheet name="FIL" sheetId="12" r:id="rId12"/>
    <sheet name="ADA" sheetId="13" r:id="rId13"/>
    <sheet name="ARB" sheetId="14" r:id="rId14"/>
    <sheet name="MATIC" sheetId="15" r:id="rId15"/>
    <sheet name="CAKE" sheetId="16" r:id="rId16"/>
    <sheet name="AXS" sheetId="17" r:id="rId17"/>
    <sheet name="CTSI" sheetId="18" r:id="rId18"/>
    <sheet name="AR" sheetId="19" r:id="rId19"/>
    <sheet name="FLUX" sheetId="20" r:id="rId20"/>
    <sheet name="DAO" sheetId="21" r:id="rId21"/>
    <sheet name="CWIF" sheetId="22" r:id="rId22"/>
    <sheet name="Targets" sheetId="23" r:id="rId23"/>
    <sheet name="Deposit" sheetId="24" r:id="rId24"/>
    <sheet name="XEN" sheetId="25" r:id="rId25"/>
    <sheet name="SRM" sheetId="26" r:id="rId26"/>
    <sheet name="TAP" sheetId="27" r:id="rId27"/>
    <sheet name="VMINT" sheetId="28" r:id="rId28"/>
    <sheet name="AIPAD" sheetId="29" r:id="rId29"/>
    <sheet name="GRAPE" sheetId="30" r:id="rId30"/>
    <sheet name="VAI" sheetId="31" r:id="rId31"/>
    <sheet name="MANIA" sheetId="32" r:id="rId32"/>
    <sheet name="QUBIC" sheetId="33" r:id="rId33"/>
    <sheet name="BBL" sheetId="34" r:id="rId34"/>
    <sheet name="PYR" sheetId="35" r:id="rId35"/>
    <sheet name="SHDW" sheetId="36" r:id="rId36"/>
    <sheet name="BEAMX" sheetId="37" r:id="rId37"/>
    <sheet name="CSIX" sheetId="38" r:id="rId38"/>
    <sheet name="GPU" sheetId="39" r:id="rId39"/>
    <sheet name="DYM" sheetId="40" r:id="rId40"/>
  </sheets>
  <calcPr calcId="144525"/>
</workbook>
</file>

<file path=xl/calcChain.xml><?xml version="1.0" encoding="utf-8"?>
<calcChain xmlns="http://schemas.openxmlformats.org/spreadsheetml/2006/main">
  <c r="J9" i="40" l="1"/>
  <c r="I9" i="40"/>
  <c r="J8" i="40"/>
  <c r="I8" i="40"/>
  <c r="J7" i="40"/>
  <c r="I7" i="40"/>
  <c r="J6" i="40"/>
  <c r="I6" i="40"/>
  <c r="J5" i="40"/>
  <c r="I5" i="40"/>
  <c r="J7" i="39"/>
  <c r="I7" i="39"/>
  <c r="E7" i="39"/>
  <c r="J6" i="39"/>
  <c r="I6" i="39"/>
  <c r="E6" i="39"/>
  <c r="J5" i="39"/>
  <c r="M15" i="39" s="1"/>
  <c r="I5" i="39"/>
  <c r="L15" i="39" s="1"/>
  <c r="E5" i="39"/>
  <c r="J16" i="38"/>
  <c r="I16" i="38"/>
  <c r="E16" i="38"/>
  <c r="J15" i="38"/>
  <c r="I15" i="38"/>
  <c r="E15" i="38"/>
  <c r="J14" i="38"/>
  <c r="I14" i="38"/>
  <c r="E14" i="38"/>
  <c r="J13" i="38"/>
  <c r="I13" i="38"/>
  <c r="E13" i="38"/>
  <c r="J12" i="38"/>
  <c r="I12" i="38"/>
  <c r="E12" i="38"/>
  <c r="J11" i="38"/>
  <c r="I11" i="38"/>
  <c r="E11" i="38"/>
  <c r="J10" i="38"/>
  <c r="I10" i="38"/>
  <c r="E10" i="38"/>
  <c r="J9" i="38"/>
  <c r="I9" i="38"/>
  <c r="E9" i="38"/>
  <c r="J8" i="38"/>
  <c r="I8" i="38"/>
  <c r="E8" i="38"/>
  <c r="J7" i="38"/>
  <c r="I7" i="38"/>
  <c r="E7" i="38"/>
  <c r="J6" i="38"/>
  <c r="I6" i="38"/>
  <c r="E6" i="38"/>
  <c r="J5" i="38"/>
  <c r="M18" i="38" s="1"/>
  <c r="I5" i="38"/>
  <c r="L18" i="38" s="1"/>
  <c r="E5" i="38"/>
  <c r="J6" i="37"/>
  <c r="I6" i="37"/>
  <c r="L16" i="37" s="1"/>
  <c r="E6" i="37"/>
  <c r="J5" i="37"/>
  <c r="M16" i="37" s="1"/>
  <c r="N16" i="37" s="1"/>
  <c r="I5" i="37"/>
  <c r="E5" i="37"/>
  <c r="J8" i="36"/>
  <c r="I8" i="36"/>
  <c r="E8" i="36"/>
  <c r="J7" i="36"/>
  <c r="I7" i="36"/>
  <c r="E7" i="36"/>
  <c r="J6" i="36"/>
  <c r="M16" i="36" s="1"/>
  <c r="N16" i="36" s="1"/>
  <c r="I6" i="36"/>
  <c r="E6" i="36"/>
  <c r="J5" i="36"/>
  <c r="I5" i="36"/>
  <c r="L16" i="36" s="1"/>
  <c r="E5" i="36"/>
  <c r="I6" i="35"/>
  <c r="H6" i="35"/>
  <c r="K16" i="35" s="1"/>
  <c r="E6" i="35"/>
  <c r="I5" i="35"/>
  <c r="L16" i="35" s="1"/>
  <c r="M16" i="35" s="1"/>
  <c r="H5" i="35"/>
  <c r="E5" i="35"/>
  <c r="H13" i="34"/>
  <c r="G13" i="34"/>
  <c r="D13" i="34"/>
  <c r="H12" i="34"/>
  <c r="G12" i="34"/>
  <c r="D12" i="34"/>
  <c r="H11" i="34"/>
  <c r="G11" i="34"/>
  <c r="D11" i="34"/>
  <c r="H10" i="34"/>
  <c r="G10" i="34"/>
  <c r="D10" i="34"/>
  <c r="H9" i="34"/>
  <c r="G9" i="34"/>
  <c r="D9" i="34"/>
  <c r="H8" i="34"/>
  <c r="G8" i="34"/>
  <c r="D8" i="34"/>
  <c r="H7" i="34"/>
  <c r="G7" i="34"/>
  <c r="D7" i="34"/>
  <c r="H6" i="34"/>
  <c r="G6" i="34"/>
  <c r="D6" i="34"/>
  <c r="H5" i="34"/>
  <c r="G5" i="34"/>
  <c r="D5" i="34"/>
  <c r="H4" i="34"/>
  <c r="G4" i="34"/>
  <c r="D4" i="34"/>
  <c r="I11" i="33"/>
  <c r="H11" i="33"/>
  <c r="E11" i="33"/>
  <c r="I10" i="33"/>
  <c r="H10" i="33"/>
  <c r="E10" i="33"/>
  <c r="I9" i="33"/>
  <c r="H9" i="33"/>
  <c r="E9" i="33"/>
  <c r="I8" i="33"/>
  <c r="H8" i="33"/>
  <c r="E8" i="33"/>
  <c r="I7" i="33"/>
  <c r="H7" i="33"/>
  <c r="E7" i="33"/>
  <c r="I6" i="33"/>
  <c r="H6" i="33"/>
  <c r="E6" i="33"/>
  <c r="I5" i="33"/>
  <c r="L17" i="33" s="1"/>
  <c r="M17" i="33" s="1"/>
  <c r="H5" i="33"/>
  <c r="K17" i="33" s="1"/>
  <c r="E5" i="33"/>
  <c r="M16" i="32"/>
  <c r="J6" i="32"/>
  <c r="I6" i="32"/>
  <c r="E6" i="32"/>
  <c r="J5" i="32"/>
  <c r="I5" i="32"/>
  <c r="L16" i="32" s="1"/>
  <c r="E5" i="32"/>
  <c r="L16" i="31"/>
  <c r="I5" i="31"/>
  <c r="H5" i="31"/>
  <c r="K16" i="31" s="1"/>
  <c r="M16" i="31" s="1"/>
  <c r="E5" i="31"/>
  <c r="K16" i="30"/>
  <c r="I8" i="30"/>
  <c r="E8" i="30"/>
  <c r="I7" i="30"/>
  <c r="E7" i="30"/>
  <c r="I6" i="30"/>
  <c r="H6" i="30"/>
  <c r="E6" i="30"/>
  <c r="I5" i="30"/>
  <c r="L16" i="30" s="1"/>
  <c r="M16" i="30" s="1"/>
  <c r="H5" i="30"/>
  <c r="E5" i="30"/>
  <c r="I7" i="29"/>
  <c r="H7" i="29"/>
  <c r="E7" i="29"/>
  <c r="I6" i="29"/>
  <c r="H6" i="29"/>
  <c r="E6" i="29"/>
  <c r="I5" i="29"/>
  <c r="L16" i="29" s="1"/>
  <c r="M16" i="29" s="1"/>
  <c r="H5" i="29"/>
  <c r="K16" i="29" s="1"/>
  <c r="E5" i="29"/>
  <c r="L16" i="28"/>
  <c r="I6" i="28"/>
  <c r="H6" i="28"/>
  <c r="E6" i="28"/>
  <c r="I5" i="28"/>
  <c r="H5" i="28"/>
  <c r="K16" i="28" s="1"/>
  <c r="E5" i="28"/>
  <c r="I6" i="27"/>
  <c r="H6" i="27"/>
  <c r="K16" i="27" s="1"/>
  <c r="E6" i="27"/>
  <c r="I5" i="27"/>
  <c r="L16" i="27" s="1"/>
  <c r="M16" i="27" s="1"/>
  <c r="H5" i="27"/>
  <c r="E5" i="27"/>
  <c r="I67" i="26"/>
  <c r="H67" i="26"/>
  <c r="I66" i="26"/>
  <c r="H66" i="26"/>
  <c r="I65" i="26"/>
  <c r="H65" i="26"/>
  <c r="E65" i="26"/>
  <c r="I64" i="26"/>
  <c r="H64" i="26"/>
  <c r="E64" i="26"/>
  <c r="I63" i="26"/>
  <c r="H63" i="26"/>
  <c r="E63" i="26"/>
  <c r="I62" i="26"/>
  <c r="H62" i="26"/>
  <c r="E62" i="26"/>
  <c r="I61" i="26"/>
  <c r="H61" i="26"/>
  <c r="E61" i="26"/>
  <c r="I60" i="26"/>
  <c r="H60" i="26"/>
  <c r="E60" i="26"/>
  <c r="I59" i="26"/>
  <c r="H59" i="26"/>
  <c r="E59" i="26"/>
  <c r="I58" i="26"/>
  <c r="H58" i="26"/>
  <c r="E58" i="26"/>
  <c r="I57" i="26"/>
  <c r="H57" i="26"/>
  <c r="E57" i="26"/>
  <c r="I56" i="26"/>
  <c r="H56" i="26"/>
  <c r="E56" i="26"/>
  <c r="I55" i="26"/>
  <c r="H55" i="26"/>
  <c r="E55" i="26"/>
  <c r="I54" i="26"/>
  <c r="H54" i="26"/>
  <c r="E54" i="26"/>
  <c r="I53" i="26"/>
  <c r="H53" i="26"/>
  <c r="E53" i="26"/>
  <c r="I52" i="26"/>
  <c r="H52" i="26"/>
  <c r="E52" i="26"/>
  <c r="I51" i="26"/>
  <c r="H51" i="26"/>
  <c r="E51" i="26"/>
  <c r="I50" i="26"/>
  <c r="H50" i="26"/>
  <c r="E50" i="26"/>
  <c r="I49" i="26"/>
  <c r="H49" i="26"/>
  <c r="E49" i="26"/>
  <c r="I48" i="26"/>
  <c r="H48" i="26"/>
  <c r="E48" i="26"/>
  <c r="I47" i="26"/>
  <c r="H47" i="26"/>
  <c r="E47" i="26"/>
  <c r="I46" i="26"/>
  <c r="I45" i="26"/>
  <c r="H45" i="26"/>
  <c r="E45" i="26"/>
  <c r="I44" i="26"/>
  <c r="I43" i="26"/>
  <c r="H43" i="26"/>
  <c r="E43" i="26"/>
  <c r="I42" i="26"/>
  <c r="H42" i="26"/>
  <c r="E42" i="26"/>
  <c r="I41" i="26"/>
  <c r="H41" i="26"/>
  <c r="E41" i="26"/>
  <c r="I40" i="26"/>
  <c r="H40" i="26"/>
  <c r="E40" i="26"/>
  <c r="I39" i="26"/>
  <c r="H39" i="26"/>
  <c r="E39" i="26"/>
  <c r="I38" i="26"/>
  <c r="H38" i="26"/>
  <c r="E38" i="26"/>
  <c r="I37" i="26"/>
  <c r="H37" i="26"/>
  <c r="E37" i="26"/>
  <c r="I36" i="26"/>
  <c r="E36" i="26"/>
  <c r="I35" i="26"/>
  <c r="H35" i="26"/>
  <c r="E35" i="26"/>
  <c r="I34" i="26"/>
  <c r="H34" i="26"/>
  <c r="E34" i="26"/>
  <c r="I33" i="26"/>
  <c r="H33" i="26"/>
  <c r="E33" i="26"/>
  <c r="I32" i="26"/>
  <c r="H32" i="26"/>
  <c r="E32" i="26"/>
  <c r="I31" i="26"/>
  <c r="H31" i="26"/>
  <c r="E31" i="26"/>
  <c r="I30" i="26"/>
  <c r="H30" i="26"/>
  <c r="E30" i="26"/>
  <c r="I29" i="26"/>
  <c r="H29" i="26"/>
  <c r="E29" i="26"/>
  <c r="I28" i="26"/>
  <c r="H28" i="26"/>
  <c r="E28" i="26"/>
  <c r="I27" i="26"/>
  <c r="H27" i="26"/>
  <c r="E27" i="26"/>
  <c r="I26" i="26"/>
  <c r="H26" i="26"/>
  <c r="E26" i="26"/>
  <c r="I25" i="26"/>
  <c r="H25" i="26"/>
  <c r="E25" i="26"/>
  <c r="I24" i="26"/>
  <c r="H24" i="26"/>
  <c r="E24" i="26"/>
  <c r="I23" i="26"/>
  <c r="H23" i="26"/>
  <c r="E23" i="26"/>
  <c r="I22" i="26"/>
  <c r="H22" i="26"/>
  <c r="E22" i="26"/>
  <c r="I21" i="26"/>
  <c r="H21" i="26"/>
  <c r="E21" i="26"/>
  <c r="I20" i="26"/>
  <c r="E20" i="26"/>
  <c r="I19" i="26"/>
  <c r="H19" i="26"/>
  <c r="E19" i="26"/>
  <c r="I18" i="26"/>
  <c r="H18" i="26"/>
  <c r="E18" i="26"/>
  <c r="I17" i="26"/>
  <c r="H17" i="26"/>
  <c r="E17" i="26"/>
  <c r="I16" i="26"/>
  <c r="H16" i="26"/>
  <c r="E16" i="26"/>
  <c r="I15" i="26"/>
  <c r="H15" i="26"/>
  <c r="E15" i="26"/>
  <c r="I14" i="26"/>
  <c r="H14" i="26"/>
  <c r="E14" i="26"/>
  <c r="I13" i="26"/>
  <c r="H13" i="26"/>
  <c r="E13" i="26"/>
  <c r="I12" i="26"/>
  <c r="H12" i="26"/>
  <c r="E12" i="26"/>
  <c r="I11" i="26"/>
  <c r="H11" i="26"/>
  <c r="E11" i="26"/>
  <c r="I10" i="26"/>
  <c r="H10" i="26"/>
  <c r="E10" i="26"/>
  <c r="I9" i="26"/>
  <c r="H9" i="26"/>
  <c r="E9" i="26"/>
  <c r="I8" i="26"/>
  <c r="H8" i="26"/>
  <c r="E8" i="26"/>
  <c r="I7" i="26"/>
  <c r="H7" i="26"/>
  <c r="E7" i="26"/>
  <c r="I6" i="26"/>
  <c r="H6" i="26"/>
  <c r="K12" i="26" s="1"/>
  <c r="E6" i="26"/>
  <c r="I5" i="26"/>
  <c r="H5" i="26"/>
  <c r="E5" i="26"/>
  <c r="I4" i="26"/>
  <c r="L12" i="26" s="1"/>
  <c r="H4" i="26"/>
  <c r="E4" i="26"/>
  <c r="I10" i="25"/>
  <c r="H10" i="25"/>
  <c r="E10" i="25"/>
  <c r="I9" i="25"/>
  <c r="H9" i="25"/>
  <c r="E9" i="25"/>
  <c r="I8" i="25"/>
  <c r="H8" i="25"/>
  <c r="E8" i="25"/>
  <c r="I7" i="25"/>
  <c r="L16" i="25" s="1"/>
  <c r="H7" i="25"/>
  <c r="E7" i="25"/>
  <c r="I6" i="25"/>
  <c r="H6" i="25"/>
  <c r="K16" i="25" s="1"/>
  <c r="E6" i="25"/>
  <c r="I5" i="25"/>
  <c r="H5" i="25"/>
  <c r="E5" i="25"/>
  <c r="J18" i="24"/>
  <c r="H18" i="24"/>
  <c r="E15" i="24"/>
  <c r="E14" i="24"/>
  <c r="E13" i="24"/>
  <c r="E12" i="24"/>
  <c r="E11" i="24"/>
  <c r="E10" i="24"/>
  <c r="K9" i="24"/>
  <c r="E9" i="24"/>
  <c r="G18" i="24" s="1"/>
  <c r="G21" i="24" s="1"/>
  <c r="K8" i="24"/>
  <c r="E8" i="24"/>
  <c r="E7" i="24"/>
  <c r="E6" i="24"/>
  <c r="E5" i="24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B14" i="23" s="1"/>
  <c r="Q9" i="23"/>
  <c r="P9" i="23"/>
  <c r="O9" i="23"/>
  <c r="N9" i="23"/>
  <c r="M9" i="23"/>
  <c r="L9" i="23"/>
  <c r="K9" i="23"/>
  <c r="J9" i="23"/>
  <c r="I9" i="23"/>
  <c r="G9" i="23"/>
  <c r="F9" i="23"/>
  <c r="E9" i="23"/>
  <c r="D9" i="23"/>
  <c r="C9" i="23"/>
  <c r="B9" i="23"/>
  <c r="Q8" i="23"/>
  <c r="P8" i="23"/>
  <c r="O8" i="23"/>
  <c r="N8" i="23"/>
  <c r="M8" i="23"/>
  <c r="L8" i="23"/>
  <c r="K8" i="23"/>
  <c r="J8" i="23"/>
  <c r="I8" i="23"/>
  <c r="G8" i="23"/>
  <c r="F8" i="23"/>
  <c r="E8" i="23"/>
  <c r="D8" i="23"/>
  <c r="C8" i="23"/>
  <c r="B8" i="23"/>
  <c r="H6" i="23"/>
  <c r="H9" i="23" s="1"/>
  <c r="I10" i="22"/>
  <c r="H10" i="22"/>
  <c r="E10" i="22"/>
  <c r="I9" i="22"/>
  <c r="H9" i="22"/>
  <c r="E9" i="22"/>
  <c r="I8" i="22"/>
  <c r="H8" i="22"/>
  <c r="K16" i="22" s="1"/>
  <c r="E8" i="22"/>
  <c r="I7" i="22"/>
  <c r="H7" i="22"/>
  <c r="E7" i="22"/>
  <c r="I6" i="22"/>
  <c r="H6" i="22"/>
  <c r="E6" i="22"/>
  <c r="I5" i="22"/>
  <c r="L16" i="22" s="1"/>
  <c r="M16" i="22" s="1"/>
  <c r="H5" i="22"/>
  <c r="E5" i="22"/>
  <c r="L16" i="21"/>
  <c r="M16" i="21" s="1"/>
  <c r="K16" i="21"/>
  <c r="I5" i="21"/>
  <c r="H5" i="21"/>
  <c r="E5" i="21"/>
  <c r="I6" i="20"/>
  <c r="L16" i="20" s="1"/>
  <c r="M16" i="20" s="1"/>
  <c r="H6" i="20"/>
  <c r="E6" i="20"/>
  <c r="I5" i="20"/>
  <c r="H5" i="20"/>
  <c r="K16" i="20" s="1"/>
  <c r="E5" i="20"/>
  <c r="K16" i="19"/>
  <c r="H8" i="19"/>
  <c r="E8" i="19"/>
  <c r="H7" i="19"/>
  <c r="E7" i="19"/>
  <c r="I6" i="19"/>
  <c r="H6" i="19"/>
  <c r="E6" i="19"/>
  <c r="I5" i="19"/>
  <c r="L16" i="19" s="1"/>
  <c r="M16" i="19" s="1"/>
  <c r="H5" i="19"/>
  <c r="E5" i="19"/>
  <c r="I13" i="18"/>
  <c r="H13" i="18"/>
  <c r="E13" i="18"/>
  <c r="I12" i="18"/>
  <c r="H12" i="18"/>
  <c r="E12" i="18"/>
  <c r="I11" i="18"/>
  <c r="H11" i="18"/>
  <c r="E11" i="18"/>
  <c r="I10" i="18"/>
  <c r="H10" i="18"/>
  <c r="E10" i="18"/>
  <c r="I9" i="18"/>
  <c r="H9" i="18"/>
  <c r="E9" i="18"/>
  <c r="I8" i="18"/>
  <c r="H8" i="18"/>
  <c r="E8" i="18"/>
  <c r="I7" i="18"/>
  <c r="L17" i="18" s="1"/>
  <c r="H7" i="18"/>
  <c r="E7" i="18"/>
  <c r="I6" i="18"/>
  <c r="H6" i="18"/>
  <c r="K17" i="18" s="1"/>
  <c r="E6" i="18"/>
  <c r="I5" i="18"/>
  <c r="H5" i="18"/>
  <c r="E5" i="18"/>
  <c r="I19" i="17"/>
  <c r="H19" i="17"/>
  <c r="E19" i="17"/>
  <c r="I17" i="17"/>
  <c r="H17" i="17"/>
  <c r="E17" i="17"/>
  <c r="I16" i="17"/>
  <c r="H16" i="17"/>
  <c r="E16" i="17"/>
  <c r="I15" i="17"/>
  <c r="H15" i="17"/>
  <c r="E15" i="17"/>
  <c r="I14" i="17"/>
  <c r="H14" i="17"/>
  <c r="E14" i="17"/>
  <c r="I13" i="17"/>
  <c r="H13" i="17"/>
  <c r="E13" i="17"/>
  <c r="I12" i="17"/>
  <c r="H12" i="17"/>
  <c r="E12" i="17"/>
  <c r="I11" i="17"/>
  <c r="H11" i="17"/>
  <c r="E11" i="17"/>
  <c r="I10" i="17"/>
  <c r="H10" i="17"/>
  <c r="E10" i="17"/>
  <c r="I9" i="17"/>
  <c r="H9" i="17"/>
  <c r="K11" i="17" s="1"/>
  <c r="E9" i="17"/>
  <c r="I8" i="17"/>
  <c r="H8" i="17"/>
  <c r="E8" i="17"/>
  <c r="I7" i="17"/>
  <c r="H7" i="17"/>
  <c r="E7" i="17"/>
  <c r="I6" i="17"/>
  <c r="L11" i="17" s="1"/>
  <c r="M11" i="17" s="1"/>
  <c r="H6" i="17"/>
  <c r="E6" i="17"/>
  <c r="J14" i="16"/>
  <c r="I14" i="16"/>
  <c r="F14" i="16"/>
  <c r="J13" i="16"/>
  <c r="I13" i="16"/>
  <c r="F13" i="16"/>
  <c r="J12" i="16"/>
  <c r="I12" i="16"/>
  <c r="F12" i="16"/>
  <c r="J11" i="16"/>
  <c r="I11" i="16"/>
  <c r="F11" i="16"/>
  <c r="J10" i="16"/>
  <c r="I10" i="16"/>
  <c r="F10" i="16"/>
  <c r="J9" i="16"/>
  <c r="I9" i="16"/>
  <c r="F9" i="16"/>
  <c r="J8" i="16"/>
  <c r="I8" i="16"/>
  <c r="F8" i="16"/>
  <c r="J7" i="16"/>
  <c r="I7" i="16"/>
  <c r="M7" i="16" s="1"/>
  <c r="F7" i="16"/>
  <c r="J6" i="16"/>
  <c r="N7" i="16" s="1"/>
  <c r="I6" i="16"/>
  <c r="F6" i="16"/>
  <c r="I27" i="15"/>
  <c r="H27" i="15"/>
  <c r="E27" i="15"/>
  <c r="I26" i="15"/>
  <c r="H26" i="15"/>
  <c r="E26" i="15"/>
  <c r="I25" i="15"/>
  <c r="H25" i="15"/>
  <c r="E25" i="15"/>
  <c r="I24" i="15"/>
  <c r="H24" i="15"/>
  <c r="E24" i="15"/>
  <c r="I23" i="15"/>
  <c r="H23" i="15"/>
  <c r="E23" i="15"/>
  <c r="I22" i="15"/>
  <c r="H22" i="15"/>
  <c r="E22" i="15"/>
  <c r="I21" i="15"/>
  <c r="H21" i="15"/>
  <c r="E21" i="15"/>
  <c r="I20" i="15"/>
  <c r="H20" i="15"/>
  <c r="E20" i="15"/>
  <c r="I19" i="15"/>
  <c r="E19" i="15"/>
  <c r="I18" i="15"/>
  <c r="H18" i="15"/>
  <c r="E18" i="15"/>
  <c r="I17" i="15"/>
  <c r="H17" i="15"/>
  <c r="E17" i="15"/>
  <c r="I16" i="15"/>
  <c r="H16" i="15"/>
  <c r="E16" i="15"/>
  <c r="I15" i="15"/>
  <c r="H15" i="15"/>
  <c r="E15" i="15"/>
  <c r="I14" i="15"/>
  <c r="H14" i="15"/>
  <c r="E14" i="15"/>
  <c r="I13" i="15"/>
  <c r="H13" i="15"/>
  <c r="E13" i="15"/>
  <c r="I12" i="15"/>
  <c r="H12" i="15"/>
  <c r="E12" i="15"/>
  <c r="I11" i="15"/>
  <c r="H11" i="15"/>
  <c r="E11" i="15"/>
  <c r="I10" i="15"/>
  <c r="H10" i="15"/>
  <c r="E10" i="15"/>
  <c r="I9" i="15"/>
  <c r="H9" i="15"/>
  <c r="E9" i="15"/>
  <c r="I8" i="15"/>
  <c r="H8" i="15"/>
  <c r="E8" i="15"/>
  <c r="I7" i="15"/>
  <c r="H7" i="15"/>
  <c r="I6" i="15"/>
  <c r="L10" i="15" s="1"/>
  <c r="H6" i="15"/>
  <c r="K10" i="15" s="1"/>
  <c r="E6" i="15"/>
  <c r="I5" i="15"/>
  <c r="H5" i="15"/>
  <c r="E5" i="15"/>
  <c r="I8" i="14"/>
  <c r="H8" i="14"/>
  <c r="E8" i="14"/>
  <c r="I7" i="14"/>
  <c r="H7" i="14"/>
  <c r="E7" i="14"/>
  <c r="I6" i="14"/>
  <c r="L16" i="14" s="1"/>
  <c r="M16" i="14" s="1"/>
  <c r="H6" i="14"/>
  <c r="E6" i="14"/>
  <c r="I5" i="14"/>
  <c r="H5" i="14"/>
  <c r="K16" i="14" s="1"/>
  <c r="E5" i="14"/>
  <c r="F10" i="13"/>
  <c r="F9" i="13"/>
  <c r="I44" i="12"/>
  <c r="H44" i="12"/>
  <c r="E44" i="12"/>
  <c r="I43" i="12"/>
  <c r="H43" i="12"/>
  <c r="E43" i="12"/>
  <c r="I42" i="12"/>
  <c r="H42" i="12"/>
  <c r="E42" i="12"/>
  <c r="I41" i="12"/>
  <c r="H41" i="12"/>
  <c r="E41" i="12"/>
  <c r="I40" i="12"/>
  <c r="H40" i="12"/>
  <c r="E40" i="12"/>
  <c r="I39" i="12"/>
  <c r="H39" i="12"/>
  <c r="E39" i="12"/>
  <c r="I38" i="12"/>
  <c r="H38" i="12"/>
  <c r="E38" i="12"/>
  <c r="I37" i="12"/>
  <c r="H37" i="12"/>
  <c r="E37" i="12"/>
  <c r="I36" i="12"/>
  <c r="H36" i="12"/>
  <c r="E36" i="12"/>
  <c r="I35" i="12"/>
  <c r="H35" i="12"/>
  <c r="E35" i="12"/>
  <c r="I34" i="12"/>
  <c r="H34" i="12"/>
  <c r="E34" i="12"/>
  <c r="I33" i="12"/>
  <c r="H33" i="12"/>
  <c r="E33" i="12"/>
  <c r="I32" i="12"/>
  <c r="H32" i="12"/>
  <c r="E32" i="12"/>
  <c r="I31" i="12"/>
  <c r="H31" i="12"/>
  <c r="E31" i="12"/>
  <c r="I30" i="12"/>
  <c r="E30" i="12"/>
  <c r="I29" i="12"/>
  <c r="E29" i="12"/>
  <c r="I28" i="12"/>
  <c r="H28" i="12"/>
  <c r="E28" i="12"/>
  <c r="I27" i="12"/>
  <c r="H27" i="12"/>
  <c r="E27" i="12"/>
  <c r="I26" i="12"/>
  <c r="H26" i="12"/>
  <c r="E26" i="12"/>
  <c r="I25" i="12"/>
  <c r="H25" i="12"/>
  <c r="E25" i="12"/>
  <c r="I24" i="12"/>
  <c r="H24" i="12"/>
  <c r="E24" i="12"/>
  <c r="I23" i="12"/>
  <c r="H23" i="12"/>
  <c r="E23" i="12"/>
  <c r="I22" i="12"/>
  <c r="H22" i="12"/>
  <c r="I21" i="12"/>
  <c r="E21" i="12"/>
  <c r="I20" i="12"/>
  <c r="H20" i="12"/>
  <c r="E20" i="12"/>
  <c r="I19" i="12"/>
  <c r="H19" i="12"/>
  <c r="E19" i="12"/>
  <c r="I18" i="12"/>
  <c r="H18" i="12"/>
  <c r="E18" i="12"/>
  <c r="I17" i="12"/>
  <c r="H17" i="12"/>
  <c r="E17" i="12"/>
  <c r="I16" i="12"/>
  <c r="H16" i="12"/>
  <c r="E16" i="12"/>
  <c r="I15" i="12"/>
  <c r="H15" i="12"/>
  <c r="E15" i="12"/>
  <c r="I14" i="12"/>
  <c r="H14" i="12"/>
  <c r="E14" i="12"/>
  <c r="I13" i="12"/>
  <c r="H13" i="12"/>
  <c r="E13" i="12"/>
  <c r="I12" i="12"/>
  <c r="E12" i="12"/>
  <c r="I11" i="12"/>
  <c r="H11" i="12"/>
  <c r="E11" i="12"/>
  <c r="I10" i="12"/>
  <c r="H10" i="12"/>
  <c r="E10" i="12"/>
  <c r="I9" i="12"/>
  <c r="H9" i="12"/>
  <c r="E9" i="12"/>
  <c r="I8" i="12"/>
  <c r="H8" i="12"/>
  <c r="E8" i="12"/>
  <c r="I7" i="12"/>
  <c r="H7" i="12"/>
  <c r="E7" i="12"/>
  <c r="I6" i="12"/>
  <c r="H6" i="12"/>
  <c r="L20" i="12" s="1"/>
  <c r="E6" i="12"/>
  <c r="I5" i="12"/>
  <c r="M9" i="12" s="1"/>
  <c r="H5" i="12"/>
  <c r="L9" i="12" s="1"/>
  <c r="E5" i="12"/>
  <c r="I9" i="11"/>
  <c r="H9" i="11"/>
  <c r="E9" i="11"/>
  <c r="I8" i="11"/>
  <c r="H8" i="11"/>
  <c r="E8" i="11"/>
  <c r="I7" i="11"/>
  <c r="L16" i="11" s="1"/>
  <c r="M16" i="11" s="1"/>
  <c r="H7" i="11"/>
  <c r="E7" i="11"/>
  <c r="I6" i="11"/>
  <c r="H6" i="11"/>
  <c r="K16" i="11" s="1"/>
  <c r="E6" i="11"/>
  <c r="I5" i="11"/>
  <c r="H5" i="11"/>
  <c r="E5" i="11"/>
  <c r="I22" i="10"/>
  <c r="H22" i="10"/>
  <c r="E22" i="10"/>
  <c r="I21" i="10"/>
  <c r="H21" i="10"/>
  <c r="E21" i="10"/>
  <c r="I20" i="10"/>
  <c r="H20" i="10"/>
  <c r="E20" i="10"/>
  <c r="I19" i="10"/>
  <c r="H19" i="10"/>
  <c r="E19" i="10"/>
  <c r="I18" i="10"/>
  <c r="H18" i="10"/>
  <c r="E18" i="10"/>
  <c r="I17" i="10"/>
  <c r="H17" i="10"/>
  <c r="E17" i="10"/>
  <c r="I16" i="10"/>
  <c r="H16" i="10"/>
  <c r="E16" i="10"/>
  <c r="I15" i="10"/>
  <c r="H15" i="10"/>
  <c r="E15" i="10"/>
  <c r="I14" i="10"/>
  <c r="H14" i="10"/>
  <c r="E14" i="10"/>
  <c r="I13" i="10"/>
  <c r="H13" i="10"/>
  <c r="E13" i="10"/>
  <c r="I12" i="10"/>
  <c r="H12" i="10"/>
  <c r="E12" i="10"/>
  <c r="I11" i="10"/>
  <c r="H11" i="10"/>
  <c r="E11" i="10"/>
  <c r="I10" i="10"/>
  <c r="H10" i="10"/>
  <c r="E10" i="10"/>
  <c r="I9" i="10"/>
  <c r="H9" i="10"/>
  <c r="E9" i="10"/>
  <c r="I8" i="10"/>
  <c r="H8" i="10"/>
  <c r="E8" i="10"/>
  <c r="I7" i="10"/>
  <c r="H7" i="10"/>
  <c r="E7" i="10"/>
  <c r="I6" i="10"/>
  <c r="L16" i="10" s="1"/>
  <c r="M16" i="10" s="1"/>
  <c r="H6" i="10"/>
  <c r="E6" i="10"/>
  <c r="I5" i="10"/>
  <c r="H5" i="10"/>
  <c r="K16" i="10" s="1"/>
  <c r="E5" i="10"/>
  <c r="K17" i="9"/>
  <c r="E6" i="9"/>
  <c r="I5" i="9"/>
  <c r="L17" i="9" s="1"/>
  <c r="M17" i="9" s="1"/>
  <c r="H5" i="9"/>
  <c r="E5" i="9"/>
  <c r="F6" i="8"/>
  <c r="F11" i="7"/>
  <c r="F10" i="7"/>
  <c r="F9" i="7"/>
  <c r="J23" i="6"/>
  <c r="I23" i="6"/>
  <c r="F23" i="6"/>
  <c r="J22" i="6"/>
  <c r="I22" i="6"/>
  <c r="F22" i="6"/>
  <c r="J21" i="6"/>
  <c r="I21" i="6"/>
  <c r="F21" i="6"/>
  <c r="J20" i="6"/>
  <c r="I20" i="6"/>
  <c r="F20" i="6"/>
  <c r="J19" i="6"/>
  <c r="I19" i="6"/>
  <c r="F19" i="6"/>
  <c r="J18" i="6"/>
  <c r="I18" i="6"/>
  <c r="F18" i="6"/>
  <c r="J17" i="6"/>
  <c r="I17" i="6"/>
  <c r="F17" i="6"/>
  <c r="J16" i="6"/>
  <c r="I16" i="6"/>
  <c r="F16" i="6"/>
  <c r="J15" i="6"/>
  <c r="I15" i="6"/>
  <c r="F15" i="6"/>
  <c r="J14" i="6"/>
  <c r="I14" i="6"/>
  <c r="F14" i="6"/>
  <c r="J13" i="6"/>
  <c r="I13" i="6"/>
  <c r="F13" i="6"/>
  <c r="J12" i="6"/>
  <c r="I12" i="6"/>
  <c r="F12" i="6"/>
  <c r="J11" i="6"/>
  <c r="I11" i="6"/>
  <c r="F11" i="6"/>
  <c r="J10" i="6"/>
  <c r="I10" i="6"/>
  <c r="F10" i="6"/>
  <c r="J9" i="6"/>
  <c r="I9" i="6"/>
  <c r="F9" i="6"/>
  <c r="J8" i="6"/>
  <c r="I8" i="6"/>
  <c r="F8" i="6"/>
  <c r="J7" i="6"/>
  <c r="I7" i="6"/>
  <c r="F7" i="6"/>
  <c r="J6" i="6"/>
  <c r="I6" i="6"/>
  <c r="F6" i="6"/>
  <c r="J5" i="6"/>
  <c r="I5" i="6"/>
  <c r="F5" i="6"/>
  <c r="J4" i="6"/>
  <c r="M6" i="6" s="1"/>
  <c r="N6" i="6" s="1"/>
  <c r="I4" i="6"/>
  <c r="L6" i="6" s="1"/>
  <c r="F4" i="6"/>
  <c r="J46" i="5"/>
  <c r="I46" i="5"/>
  <c r="E46" i="5"/>
  <c r="J45" i="5"/>
  <c r="I45" i="5"/>
  <c r="E45" i="5"/>
  <c r="J44" i="5"/>
  <c r="I44" i="5"/>
  <c r="E44" i="5"/>
  <c r="J43" i="5"/>
  <c r="I43" i="5"/>
  <c r="E43" i="5"/>
  <c r="J42" i="5"/>
  <c r="I42" i="5"/>
  <c r="E42" i="5"/>
  <c r="J41" i="5"/>
  <c r="I41" i="5"/>
  <c r="E41" i="5"/>
  <c r="J40" i="5"/>
  <c r="I40" i="5"/>
  <c r="E40" i="5"/>
  <c r="J39" i="5"/>
  <c r="I39" i="5"/>
  <c r="E39" i="5"/>
  <c r="J38" i="5"/>
  <c r="I38" i="5"/>
  <c r="E38" i="5"/>
  <c r="J37" i="5"/>
  <c r="I37" i="5"/>
  <c r="E37" i="5"/>
  <c r="J36" i="5"/>
  <c r="I36" i="5"/>
  <c r="E36" i="5"/>
  <c r="J35" i="5"/>
  <c r="I35" i="5"/>
  <c r="E35" i="5"/>
  <c r="J34" i="5"/>
  <c r="I34" i="5"/>
  <c r="E34" i="5"/>
  <c r="J33" i="5"/>
  <c r="I33" i="5"/>
  <c r="E33" i="5"/>
  <c r="J32" i="5"/>
  <c r="I32" i="5"/>
  <c r="E32" i="5"/>
  <c r="J31" i="5"/>
  <c r="I31" i="5"/>
  <c r="E31" i="5"/>
  <c r="J30" i="5"/>
  <c r="I30" i="5"/>
  <c r="E30" i="5"/>
  <c r="J29" i="5"/>
  <c r="I29" i="5"/>
  <c r="E29" i="5"/>
  <c r="J28" i="5"/>
  <c r="I28" i="5"/>
  <c r="E28" i="5"/>
  <c r="J27" i="5"/>
  <c r="I27" i="5"/>
  <c r="E27" i="5"/>
  <c r="J26" i="5"/>
  <c r="I26" i="5"/>
  <c r="E26" i="5"/>
  <c r="J25" i="5"/>
  <c r="I25" i="5"/>
  <c r="E25" i="5"/>
  <c r="J24" i="5"/>
  <c r="I24" i="5"/>
  <c r="E24" i="5"/>
  <c r="J23" i="5"/>
  <c r="I23" i="5"/>
  <c r="E23" i="5"/>
  <c r="J22" i="5"/>
  <c r="I22" i="5"/>
  <c r="E22" i="5"/>
  <c r="J21" i="5"/>
  <c r="I21" i="5"/>
  <c r="E21" i="5"/>
  <c r="J20" i="5"/>
  <c r="I20" i="5"/>
  <c r="E20" i="5"/>
  <c r="J19" i="5"/>
  <c r="I19" i="5"/>
  <c r="E19" i="5"/>
  <c r="J18" i="5"/>
  <c r="I18" i="5"/>
  <c r="E18" i="5"/>
  <c r="J17" i="5"/>
  <c r="I17" i="5"/>
  <c r="E17" i="5"/>
  <c r="J16" i="5"/>
  <c r="I16" i="5"/>
  <c r="E16" i="5"/>
  <c r="J15" i="5"/>
  <c r="I15" i="5"/>
  <c r="E15" i="5"/>
  <c r="J14" i="5"/>
  <c r="I14" i="5"/>
  <c r="E14" i="5"/>
  <c r="J13" i="5"/>
  <c r="I13" i="5"/>
  <c r="E13" i="5"/>
  <c r="J12" i="5"/>
  <c r="I12" i="5"/>
  <c r="E12" i="5"/>
  <c r="J11" i="5"/>
  <c r="I11" i="5"/>
  <c r="E11" i="5"/>
  <c r="J10" i="5"/>
  <c r="I10" i="5"/>
  <c r="E10" i="5"/>
  <c r="J9" i="5"/>
  <c r="I9" i="5"/>
  <c r="E9" i="5"/>
  <c r="J8" i="5"/>
  <c r="I8" i="5"/>
  <c r="E8" i="5"/>
  <c r="J7" i="5"/>
  <c r="I7" i="5"/>
  <c r="E7" i="5"/>
  <c r="J6" i="5"/>
  <c r="I6" i="5"/>
  <c r="E6" i="5"/>
  <c r="J5" i="5"/>
  <c r="M15" i="5" s="1"/>
  <c r="I5" i="5"/>
  <c r="L15" i="5" s="1"/>
  <c r="E5" i="5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E28" i="4"/>
  <c r="I27" i="4"/>
  <c r="H27" i="4"/>
  <c r="E27" i="4"/>
  <c r="I26" i="4"/>
  <c r="H26" i="4"/>
  <c r="E26" i="4"/>
  <c r="I25" i="4"/>
  <c r="I24" i="4"/>
  <c r="H24" i="4"/>
  <c r="E24" i="4"/>
  <c r="I23" i="4"/>
  <c r="E23" i="4"/>
  <c r="I22" i="4"/>
  <c r="H22" i="4"/>
  <c r="E22" i="4"/>
  <c r="I21" i="4"/>
  <c r="H21" i="4"/>
  <c r="E21" i="4"/>
  <c r="I20" i="4"/>
  <c r="H20" i="4"/>
  <c r="E20" i="4"/>
  <c r="I19" i="4"/>
  <c r="E19" i="4"/>
  <c r="I18" i="4"/>
  <c r="H18" i="4"/>
  <c r="E18" i="4"/>
  <c r="I17" i="4"/>
  <c r="H17" i="4"/>
  <c r="E17" i="4"/>
  <c r="I16" i="4"/>
  <c r="H16" i="4"/>
  <c r="E16" i="4"/>
  <c r="I15" i="4"/>
  <c r="H15" i="4"/>
  <c r="E15" i="4"/>
  <c r="I14" i="4"/>
  <c r="H14" i="4"/>
  <c r="E14" i="4"/>
  <c r="I13" i="4"/>
  <c r="H13" i="4"/>
  <c r="E13" i="4"/>
  <c r="I12" i="4"/>
  <c r="H12" i="4"/>
  <c r="E12" i="4"/>
  <c r="I11" i="4"/>
  <c r="H11" i="4"/>
  <c r="E11" i="4"/>
  <c r="I10" i="4"/>
  <c r="H10" i="4"/>
  <c r="E10" i="4"/>
  <c r="I9" i="4"/>
  <c r="H9" i="4"/>
  <c r="E9" i="4"/>
  <c r="I8" i="4"/>
  <c r="H8" i="4"/>
  <c r="E8" i="4"/>
  <c r="I7" i="4"/>
  <c r="H7" i="4"/>
  <c r="E7" i="4"/>
  <c r="I6" i="4"/>
  <c r="L8" i="4" s="1"/>
  <c r="M8" i="4" s="1"/>
  <c r="H6" i="4"/>
  <c r="K8" i="4" s="1"/>
  <c r="E6" i="4"/>
  <c r="I22" i="3"/>
  <c r="H22" i="3"/>
  <c r="E22" i="3"/>
  <c r="I21" i="3"/>
  <c r="H21" i="3"/>
  <c r="E21" i="3"/>
  <c r="I20" i="3"/>
  <c r="H20" i="3"/>
  <c r="E20" i="3"/>
  <c r="I19" i="3"/>
  <c r="H19" i="3"/>
  <c r="E19" i="3"/>
  <c r="I18" i="3"/>
  <c r="H18" i="3"/>
  <c r="E18" i="3"/>
  <c r="I17" i="3"/>
  <c r="H17" i="3"/>
  <c r="E17" i="3"/>
  <c r="I16" i="3"/>
  <c r="E16" i="3"/>
  <c r="I15" i="3"/>
  <c r="H15" i="3"/>
  <c r="E15" i="3"/>
  <c r="I14" i="3"/>
  <c r="H14" i="3"/>
  <c r="E14" i="3"/>
  <c r="I13" i="3"/>
  <c r="H13" i="3"/>
  <c r="E13" i="3"/>
  <c r="I12" i="3"/>
  <c r="H12" i="3"/>
  <c r="E12" i="3"/>
  <c r="I11" i="3"/>
  <c r="E11" i="3"/>
  <c r="I10" i="3"/>
  <c r="H10" i="3"/>
  <c r="E10" i="3"/>
  <c r="I9" i="3"/>
  <c r="H9" i="3"/>
  <c r="E9" i="3"/>
  <c r="I8" i="3"/>
  <c r="H8" i="3"/>
  <c r="E8" i="3"/>
  <c r="I7" i="3"/>
  <c r="H7" i="3"/>
  <c r="E7" i="3"/>
  <c r="I6" i="3"/>
  <c r="H6" i="3"/>
  <c r="E6" i="3"/>
  <c r="I5" i="3"/>
  <c r="L6" i="3" s="1"/>
  <c r="H5" i="3"/>
  <c r="K6" i="3" s="1"/>
  <c r="E5" i="3"/>
  <c r="I27" i="2"/>
  <c r="H27" i="2"/>
  <c r="E27" i="2"/>
  <c r="I26" i="2"/>
  <c r="H26" i="2"/>
  <c r="E26" i="2"/>
  <c r="I25" i="2"/>
  <c r="H25" i="2"/>
  <c r="E25" i="2"/>
  <c r="I24" i="2"/>
  <c r="H24" i="2"/>
  <c r="E24" i="2"/>
  <c r="I23" i="2"/>
  <c r="H23" i="2"/>
  <c r="E23" i="2"/>
  <c r="I22" i="2"/>
  <c r="H22" i="2"/>
  <c r="E22" i="2"/>
  <c r="I21" i="2"/>
  <c r="H21" i="2"/>
  <c r="E21" i="2"/>
  <c r="I20" i="2"/>
  <c r="H20" i="2"/>
  <c r="E20" i="2"/>
  <c r="I19" i="2"/>
  <c r="H19" i="2"/>
  <c r="E19" i="2"/>
  <c r="I18" i="2"/>
  <c r="H18" i="2"/>
  <c r="E18" i="2"/>
  <c r="I17" i="2"/>
  <c r="H17" i="2"/>
  <c r="E17" i="2"/>
  <c r="I16" i="2"/>
  <c r="H16" i="2"/>
  <c r="E16" i="2"/>
  <c r="I15" i="2"/>
  <c r="H15" i="2"/>
  <c r="E15" i="2"/>
  <c r="I14" i="2"/>
  <c r="H14" i="2"/>
  <c r="E14" i="2"/>
  <c r="I13" i="2"/>
  <c r="H13" i="2"/>
  <c r="E13" i="2"/>
  <c r="I12" i="2"/>
  <c r="H12" i="2"/>
  <c r="E12" i="2"/>
  <c r="I11" i="2"/>
  <c r="H11" i="2"/>
  <c r="E11" i="2"/>
  <c r="I10" i="2"/>
  <c r="H10" i="2"/>
  <c r="E10" i="2"/>
  <c r="I9" i="2"/>
  <c r="H9" i="2"/>
  <c r="E9" i="2"/>
  <c r="I8" i="2"/>
  <c r="H8" i="2"/>
  <c r="E8" i="2"/>
  <c r="I7" i="2"/>
  <c r="H7" i="2"/>
  <c r="E7" i="2"/>
  <c r="I6" i="2"/>
  <c r="H6" i="2"/>
  <c r="E6" i="2"/>
  <c r="I5" i="2"/>
  <c r="L16" i="2" s="1"/>
  <c r="M16" i="2" s="1"/>
  <c r="H5" i="2"/>
  <c r="K16" i="2" s="1"/>
  <c r="E5" i="2"/>
  <c r="J34" i="1"/>
  <c r="I34" i="1"/>
  <c r="F34" i="1"/>
  <c r="J33" i="1"/>
  <c r="I33" i="1"/>
  <c r="F33" i="1"/>
  <c r="J32" i="1"/>
  <c r="I32" i="1"/>
  <c r="F32" i="1"/>
  <c r="J31" i="1"/>
  <c r="I31" i="1"/>
  <c r="F31" i="1"/>
  <c r="J30" i="1"/>
  <c r="I30" i="1"/>
  <c r="F30" i="1"/>
  <c r="J29" i="1"/>
  <c r="I29" i="1"/>
  <c r="F29" i="1"/>
  <c r="J28" i="1"/>
  <c r="I28" i="1"/>
  <c r="F28" i="1"/>
  <c r="J27" i="1"/>
  <c r="I27" i="1"/>
  <c r="F27" i="1"/>
  <c r="J26" i="1"/>
  <c r="I26" i="1"/>
  <c r="F26" i="1"/>
  <c r="J25" i="1"/>
  <c r="I25" i="1"/>
  <c r="F25" i="1"/>
  <c r="J24" i="1"/>
  <c r="I24" i="1"/>
  <c r="F24" i="1"/>
  <c r="J23" i="1"/>
  <c r="I23" i="1"/>
  <c r="F23" i="1"/>
  <c r="J22" i="1"/>
  <c r="I22" i="1"/>
  <c r="F22" i="1"/>
  <c r="J21" i="1"/>
  <c r="I21" i="1"/>
  <c r="F21" i="1"/>
  <c r="J20" i="1"/>
  <c r="I20" i="1"/>
  <c r="F20" i="1"/>
  <c r="J19" i="1"/>
  <c r="I19" i="1"/>
  <c r="F19" i="1"/>
  <c r="J18" i="1"/>
  <c r="I18" i="1"/>
  <c r="F18" i="1"/>
  <c r="J17" i="1"/>
  <c r="I17" i="1"/>
  <c r="F17" i="1"/>
  <c r="J16" i="1"/>
  <c r="I16" i="1"/>
  <c r="F16" i="1"/>
  <c r="J15" i="1"/>
  <c r="I15" i="1"/>
  <c r="F15" i="1"/>
  <c r="J14" i="1"/>
  <c r="I14" i="1"/>
  <c r="F14" i="1"/>
  <c r="J13" i="1"/>
  <c r="I13" i="1"/>
  <c r="F13" i="1"/>
  <c r="J12" i="1"/>
  <c r="I12" i="1"/>
  <c r="F12" i="1"/>
  <c r="J11" i="1"/>
  <c r="I11" i="1"/>
  <c r="F11" i="1"/>
  <c r="J10" i="1"/>
  <c r="I10" i="1"/>
  <c r="F10" i="1"/>
  <c r="J9" i="1"/>
  <c r="I9" i="1"/>
  <c r="F9" i="1"/>
  <c r="J8" i="1"/>
  <c r="I8" i="1"/>
  <c r="F8" i="1"/>
  <c r="J7" i="1"/>
  <c r="I7" i="1"/>
  <c r="F7" i="1"/>
  <c r="J6" i="1"/>
  <c r="I6" i="1"/>
  <c r="F6" i="1"/>
  <c r="J5" i="1"/>
  <c r="I5" i="1"/>
  <c r="F5" i="1"/>
  <c r="J4" i="1"/>
  <c r="M8" i="1" s="1"/>
  <c r="N8" i="1" s="1"/>
  <c r="I4" i="1"/>
  <c r="L8" i="1" s="1"/>
  <c r="F4" i="1"/>
  <c r="M16" i="25" l="1"/>
  <c r="B12" i="23"/>
  <c r="N15" i="5"/>
  <c r="N9" i="12"/>
  <c r="N18" i="38"/>
  <c r="M12" i="26"/>
  <c r="N16" i="32"/>
  <c r="M6" i="3"/>
  <c r="M16" i="28"/>
  <c r="M10" i="15"/>
  <c r="O7" i="16"/>
  <c r="M17" i="18"/>
  <c r="N15" i="39"/>
  <c r="H8" i="23"/>
  <c r="B13" i="23" s="1"/>
</calcChain>
</file>

<file path=xl/sharedStrings.xml><?xml version="1.0" encoding="utf-8"?>
<sst xmlns="http://schemas.openxmlformats.org/spreadsheetml/2006/main" count="1267" uniqueCount="168">
  <si>
    <t>GALA</t>
  </si>
  <si>
    <t>Date</t>
  </si>
  <si>
    <t>Time</t>
  </si>
  <si>
    <t>Ammount</t>
  </si>
  <si>
    <t>Cost(USD)</t>
  </si>
  <si>
    <t>Price(USD)</t>
  </si>
  <si>
    <t>Action</t>
  </si>
  <si>
    <t>Platform</t>
  </si>
  <si>
    <t>BUY</t>
  </si>
  <si>
    <t>Binance(CEX)</t>
  </si>
  <si>
    <t>SELL</t>
  </si>
  <si>
    <t>Invested</t>
  </si>
  <si>
    <t>avarage price</t>
  </si>
  <si>
    <t/>
  </si>
  <si>
    <t>The founders suing eatch other, there is no price performance, I am out of this project</t>
  </si>
  <si>
    <t>LINK</t>
  </si>
  <si>
    <t>Date &amp; Time</t>
  </si>
  <si>
    <t>Description</t>
  </si>
  <si>
    <t>I wanted to swing trade, but I didn't buy back the coins in lower proce</t>
  </si>
  <si>
    <t>BAKE</t>
  </si>
  <si>
    <t>???</t>
  </si>
  <si>
    <t>Amount(BAT,USD)</t>
  </si>
  <si>
    <t>ACCUULATION</t>
  </si>
  <si>
    <t>Strategy:</t>
  </si>
  <si>
    <t>Short term</t>
  </si>
  <si>
    <t>all</t>
  </si>
  <si>
    <t>no buy</t>
  </si>
  <si>
    <t>Binance</t>
  </si>
  <si>
    <t>AVAX</t>
  </si>
  <si>
    <t>ACCUMULATION</t>
  </si>
  <si>
    <t>Trust wallet integrated swap(DEX)</t>
  </si>
  <si>
    <t>SOL</t>
  </si>
  <si>
    <t>Error</t>
  </si>
  <si>
    <t>BitGet(CEX)</t>
  </si>
  <si>
    <t>MANA</t>
  </si>
  <si>
    <t>??</t>
  </si>
  <si>
    <t>ATOM</t>
  </si>
  <si>
    <t>SOLD ALL</t>
  </si>
  <si>
    <t>BAT</t>
  </si>
  <si>
    <t>SELL in case when money needed for an onother invesment and the BAT token rised above 0.3</t>
  </si>
  <si>
    <t>Long term</t>
  </si>
  <si>
    <t>all,20</t>
  </si>
  <si>
    <t>MOVR</t>
  </si>
  <si>
    <t>ICP</t>
  </si>
  <si>
    <t>FIL</t>
  </si>
  <si>
    <t>????</t>
  </si>
  <si>
    <t>DEPOSIT</t>
  </si>
  <si>
    <t>ADA</t>
  </si>
  <si>
    <t>Only for Meld airdrop</t>
  </si>
  <si>
    <t>Spent for transaction fees and Meld airdrop</t>
  </si>
  <si>
    <t>ARB</t>
  </si>
  <si>
    <t>DEX</t>
  </si>
  <si>
    <t>BUY back if already sold</t>
  </si>
  <si>
    <t>The rest</t>
  </si>
  <si>
    <t>no buy long term</t>
  </si>
  <si>
    <t>Withdraw</t>
  </si>
  <si>
    <t>CAKE</t>
  </si>
  <si>
    <t>REDEEMED</t>
  </si>
  <si>
    <t>AXS</t>
  </si>
  <si>
    <t>CTSI</t>
  </si>
  <si>
    <t>Amount(CTSI,USD)</t>
  </si>
  <si>
    <t>250,40</t>
  </si>
  <si>
    <t>AR</t>
  </si>
  <si>
    <t>OKX(CEX)</t>
  </si>
  <si>
    <t>FLUX</t>
  </si>
  <si>
    <t>DAO</t>
  </si>
  <si>
    <t>Descripton</t>
  </si>
  <si>
    <t>Buyed not for speculation porpos, but to
 stake in DAO maker lauchpad</t>
  </si>
  <si>
    <t>Gate.io(CEX)</t>
  </si>
  <si>
    <t>CWIF</t>
  </si>
  <si>
    <t>BITMART(CEX)</t>
  </si>
  <si>
    <t>Buying for jonatan</t>
  </si>
  <si>
    <t>Crypto</t>
  </si>
  <si>
    <t>MATIC</t>
  </si>
  <si>
    <t>SRM</t>
  </si>
  <si>
    <t>BSW</t>
  </si>
  <si>
    <t>BNB</t>
  </si>
  <si>
    <t>OP</t>
  </si>
  <si>
    <t>HBAR</t>
  </si>
  <si>
    <t>MOS</t>
  </si>
  <si>
    <t>I have</t>
  </si>
  <si>
    <t>Target amount</t>
  </si>
  <si>
    <t>AVG price</t>
  </si>
  <si>
    <t>Total Invested</t>
  </si>
  <si>
    <t>Money needed</t>
  </si>
  <si>
    <t>Target price</t>
  </si>
  <si>
    <t>Expected wealth</t>
  </si>
  <si>
    <t>money needed</t>
  </si>
  <si>
    <t>Total invested</t>
  </si>
  <si>
    <t>Target wealth</t>
  </si>
  <si>
    <t>IN</t>
  </si>
  <si>
    <t>OUT</t>
  </si>
  <si>
    <t>present</t>
  </si>
  <si>
    <t>22/02/2022  10:35:42 PM</t>
  </si>
  <si>
    <t>USD</t>
  </si>
  <si>
    <t>mosaic project</t>
  </si>
  <si>
    <t>Binance account</t>
  </si>
  <si>
    <t>transfer</t>
  </si>
  <si>
    <t>Bitget Account</t>
  </si>
  <si>
    <t>EUR</t>
  </si>
  <si>
    <t>TrustWallet</t>
  </si>
  <si>
    <t>PancakeSwap staking</t>
  </si>
  <si>
    <t>BiswapStaking</t>
  </si>
  <si>
    <t>sum</t>
  </si>
  <si>
    <t>out sum</t>
  </si>
  <si>
    <t>present sum</t>
  </si>
  <si>
    <t>XEN</t>
  </si>
  <si>
    <t>~5/29/2023~</t>
  </si>
  <si>
    <t>Bitget(CEX)</t>
  </si>
  <si>
    <t>~ meanis around this date</t>
  </si>
  <si>
    <t>MEXC(CEX)</t>
  </si>
  <si>
    <t>Cost(USD)/Fee(SRM)</t>
  </si>
  <si>
    <t>54.958516 </t>
  </si>
  <si>
    <t>TAP</t>
  </si>
  <si>
    <t>PancakeSwap(DEX)</t>
  </si>
  <si>
    <t>VMINT</t>
  </si>
  <si>
    <t>AIPAD</t>
  </si>
  <si>
    <t>GRAPE</t>
  </si>
  <si>
    <t>BYBIT(CEX)</t>
  </si>
  <si>
    <t>826 </t>
  </si>
  <si>
    <t>VAI</t>
  </si>
  <si>
    <t>MANIA</t>
  </si>
  <si>
    <t>Wallet</t>
  </si>
  <si>
    <t>Presale</t>
  </si>
  <si>
    <t>0x2ffA103c1931BEb4C8f26F209ceaB524E2EECF8b</t>
  </si>
  <si>
    <t>Pancakeswap(DEX)</t>
  </si>
  <si>
    <t>0x7907C39674e762d3E257d3eEa4DbBd778d825361</t>
  </si>
  <si>
    <t>QUBIC</t>
  </si>
  <si>
    <t>SafeTrade(CEX)</t>
  </si>
  <si>
    <t>BBL</t>
  </si>
  <si>
    <t>PancakeSwap(Polygon)</t>
  </si>
  <si>
    <t>PYR</t>
  </si>
  <si>
    <t>BINANCE(CEX)</t>
  </si>
  <si>
    <t>SHDW</t>
  </si>
  <si>
    <t>JUP(DEX)</t>
  </si>
  <si>
    <t>4Md9vmR4XP3yumkuTZnnkq8Kaf7iWUSauJauouvwnPxU</t>
  </si>
  <si>
    <t>BUYING for Jonatan</t>
  </si>
  <si>
    <t>BEAMX</t>
  </si>
  <si>
    <t>PancakeSwap</t>
  </si>
  <si>
    <t>0x97D76A60365d0dB99Af998b5396715CddA89b596</t>
  </si>
  <si>
    <t>CSIX</t>
  </si>
  <si>
    <t>FARM</t>
  </si>
  <si>
    <t>0x97D76A60365d0dB99Af998b5396715CddA89b597</t>
  </si>
  <si>
    <t>0x97D76A60365d0dB99Af998b5396715CddA89b598</t>
  </si>
  <si>
    <t>0x97D76A60365d0dB99Af998b5396715CddA89b599</t>
  </si>
  <si>
    <t>0x97D76A60365d0dB99Af998b5396715CddA89b600</t>
  </si>
  <si>
    <t>0x97D76A60365d0dB99Af998b5396715CddA89b601</t>
  </si>
  <si>
    <t>0x7907C39674e762d3E257d3eEa4DbBd778d825362</t>
  </si>
  <si>
    <t>0x97D76A60365d0dB99Af998b5396715CddA89b602</t>
  </si>
  <si>
    <t>0x97D76A60365d0dB99Af998b5396715CddA89b603</t>
  </si>
  <si>
    <t>0x97D76A60365d0dB99Af998b5396715CddA89b604</t>
  </si>
  <si>
    <t>GPU</t>
  </si>
  <si>
    <t>BINGX(CEX)</t>
  </si>
  <si>
    <t>-</t>
  </si>
  <si>
    <t>DYM</t>
  </si>
  <si>
    <t>17.50000000</t>
  </si>
  <si>
    <t>100.59000000</t>
  </si>
  <si>
    <t>5.74800000</t>
  </si>
  <si>
    <t>38.90000000</t>
  </si>
  <si>
    <t>124.51890000</t>
  </si>
  <si>
    <t>3.20100000</t>
  </si>
  <si>
    <t>5.40000000</t>
  </si>
  <si>
    <t>17.28540000</t>
  </si>
  <si>
    <t>80.60000000</t>
  </si>
  <si>
    <t>258.00060000</t>
  </si>
  <si>
    <t>36.60000000</t>
  </si>
  <si>
    <t>99.99120000</t>
  </si>
  <si>
    <t>2.73200000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</si>
</sst>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400]h:mm:ss\ AM/PM"/>
    <numFmt numFmtId="165" formatCode="[$-F800]dddd\,\ mmmm\ dd\,\ yyyy"/>
    <numFmt numFmtId="166" formatCode="yyyy\-mm\-dd\ h:mm:ss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1E2329"/>
      <name val="Calibri"/>
      <family val="2"/>
      <scheme val="minor"/>
    </font>
    <font>
      <sz val="7"/>
      <color rgb="FF707A8A"/>
      <name val="Arial"/>
      <family val="2"/>
    </font>
    <font>
      <sz val="8"/>
      <color rgb="FF1E2329"/>
      <name val="Arial"/>
      <family val="2"/>
    </font>
    <font>
      <sz val="9"/>
      <color rgb="FF212529"/>
      <name val="Roboto"/>
    </font>
    <font>
      <sz val="8"/>
      <color rgb="FF141F21"/>
      <name val="Microsoft YaHei"/>
      <family val="2"/>
    </font>
    <font>
      <sz val="11"/>
      <color theme="1"/>
      <name val="Segoe UI"/>
      <family val="2"/>
    </font>
    <font>
      <sz val="11"/>
      <color rgb="FF212F4F"/>
      <name val="Calibri"/>
      <family val="2"/>
      <scheme val="minor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AF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3" borderId="0"/>
  </cellStyleXfs>
  <cellXfs count="67">
    <xf numFmtId="0" fontId="0" fillId="0" borderId="0" xfId="0"/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2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/>
    </xf>
    <xf numFmtId="22" fontId="1" fillId="0" borderId="1" xfId="0" applyNumberFormat="1" applyFont="1" applyBorder="1" applyAlignment="1">
      <alignment vertical="center" wrapText="1"/>
    </xf>
    <xf numFmtId="2" fontId="0" fillId="0" borderId="0" xfId="0" applyNumberFormat="1"/>
    <xf numFmtId="22" fontId="1" fillId="2" borderId="1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22" fontId="2" fillId="3" borderId="1" xfId="1" applyNumberFormat="1" applyBorder="1" applyAlignment="1">
      <alignment horizontal="center" vertical="center" wrapText="1"/>
    </xf>
    <xf numFmtId="0" fontId="2" fillId="3" borderId="1" xfId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22" fontId="0" fillId="6" borderId="1" xfId="0" applyNumberForma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7" borderId="0" xfId="0" applyFill="1"/>
    <xf numFmtId="22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4" borderId="0" xfId="0" applyFill="1" applyAlignment="1">
      <alignment horizontal="center" vertical="center"/>
    </xf>
    <xf numFmtId="22" fontId="4" fillId="0" borderId="0" xfId="0" applyNumberFormat="1" applyFont="1" applyAlignment="1">
      <alignment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22" fontId="0" fillId="0" borderId="1" xfId="0" applyNumberFormat="1" applyBorder="1" applyAlignment="1">
      <alignment horizontal="center" wrapText="1"/>
    </xf>
    <xf numFmtId="0" fontId="5" fillId="0" borderId="1" xfId="0" applyFont="1" applyBorder="1"/>
    <xf numFmtId="0" fontId="0" fillId="0" borderId="3" xfId="0" applyBorder="1"/>
    <xf numFmtId="3" fontId="0" fillId="0" borderId="0" xfId="0" applyNumberFormat="1" applyAlignment="1">
      <alignment horizontal="center" vertical="center"/>
    </xf>
    <xf numFmtId="0" fontId="3" fillId="0" borderId="1" xfId="0" applyFont="1" applyBorder="1"/>
    <xf numFmtId="22" fontId="6" fillId="0" borderId="1" xfId="0" applyNumberFormat="1" applyFont="1" applyBorder="1" applyAlignment="1">
      <alignment vertical="center" wrapText="1"/>
    </xf>
    <xf numFmtId="0" fontId="7" fillId="0" borderId="0" xfId="0" applyFont="1"/>
    <xf numFmtId="22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/>
    <xf numFmtId="22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/>
    <xf numFmtId="4" fontId="8" fillId="0" borderId="0" xfId="0" applyNumberFormat="1" applyFont="1"/>
    <xf numFmtId="0" fontId="8" fillId="0" borderId="0" xfId="0" applyFont="1"/>
    <xf numFmtId="22" fontId="10" fillId="8" borderId="1" xfId="0" applyNumberFormat="1" applyFont="1" applyFill="1" applyBorder="1" applyAlignment="1">
      <alignment horizontal="left" vertical="center" wrapText="1" indent="1"/>
    </xf>
    <xf numFmtId="22" fontId="1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1" xfId="0" applyNumberFormat="1" applyBorder="1" applyAlignment="1">
      <alignment vertical="center" wrapText="1"/>
    </xf>
    <xf numFmtId="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/>
    <xf numFmtId="0" fontId="0" fillId="0" borderId="6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6"/>
  <sheetViews>
    <sheetView topLeftCell="B1" zoomScale="85" zoomScaleNormal="85" workbookViewId="0">
      <selection activeCell="N16" sqref="N16"/>
    </sheetView>
  </sheetViews>
  <sheetFormatPr defaultRowHeight="14.4" x14ac:dyDescent="0.3"/>
  <cols>
    <col min="2" max="2" width="22.33203125" style="46" bestFit="1" customWidth="1"/>
    <col min="3" max="3" width="16.88671875" style="46" customWidth="1"/>
    <col min="4" max="5" width="9.5546875" style="46" bestFit="1" customWidth="1"/>
    <col min="6" max="6" width="12" style="46" bestFit="1" customWidth="1"/>
    <col min="8" max="8" width="12.21875" style="46" bestFit="1" customWidth="1"/>
    <col min="12" max="12" width="9" style="46" bestFit="1" customWidth="1"/>
    <col min="14" max="14" width="12" style="46" bestFit="1" customWidth="1"/>
  </cols>
  <sheetData>
    <row r="2" spans="2:14" x14ac:dyDescent="0.3">
      <c r="B2" s="62" t="s">
        <v>0</v>
      </c>
      <c r="C2" s="63"/>
      <c r="D2" s="63"/>
      <c r="E2" s="63"/>
      <c r="F2" s="63"/>
      <c r="G2" s="63"/>
    </row>
    <row r="3" spans="2:14" x14ac:dyDescent="0.3"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7" t="s">
        <v>7</v>
      </c>
    </row>
    <row r="4" spans="2:14" x14ac:dyDescent="0.3">
      <c r="B4" s="1">
        <v>44798</v>
      </c>
      <c r="C4" s="2">
        <v>44798.483530092592</v>
      </c>
      <c r="D4" s="44">
        <v>88.924999999999997</v>
      </c>
      <c r="E4" s="44">
        <v>5</v>
      </c>
      <c r="F4" s="44">
        <f t="shared" ref="F4:F34" si="0">E4/D4</f>
        <v>5.6227157717177401E-2</v>
      </c>
      <c r="G4" s="44" t="s">
        <v>8</v>
      </c>
      <c r="H4" s="3" t="s">
        <v>9</v>
      </c>
      <c r="I4">
        <f t="shared" ref="I4:I34" si="1">IF($G4="BUY",D4,-D4)</f>
        <v>88.924999999999997</v>
      </c>
      <c r="J4">
        <f t="shared" ref="J4:J34" si="2">IF($G4="BUY",-E4,E4)</f>
        <v>-5</v>
      </c>
    </row>
    <row r="5" spans="2:14" x14ac:dyDescent="0.3">
      <c r="B5" s="1">
        <v>44823</v>
      </c>
      <c r="C5" s="2">
        <v>44823.068460648137</v>
      </c>
      <c r="D5" s="44">
        <v>117.88</v>
      </c>
      <c r="E5" s="44">
        <v>5</v>
      </c>
      <c r="F5" s="44">
        <f t="shared" si="0"/>
        <v>4.2416016287750255E-2</v>
      </c>
      <c r="G5" s="44" t="s">
        <v>8</v>
      </c>
      <c r="H5" s="3" t="s">
        <v>9</v>
      </c>
      <c r="I5">
        <f t="shared" si="1"/>
        <v>117.88</v>
      </c>
      <c r="J5">
        <f t="shared" si="2"/>
        <v>-5</v>
      </c>
    </row>
    <row r="6" spans="2:14" x14ac:dyDescent="0.3">
      <c r="B6" s="1">
        <v>44855</v>
      </c>
      <c r="C6" s="26">
        <v>44855.819236111107</v>
      </c>
      <c r="D6" s="44">
        <v>151.44999999999999</v>
      </c>
      <c r="E6" s="44">
        <v>5</v>
      </c>
      <c r="F6" s="44">
        <f t="shared" si="0"/>
        <v>3.3014196104324864E-2</v>
      </c>
      <c r="G6" s="44" t="s">
        <v>8</v>
      </c>
      <c r="H6" s="3" t="s">
        <v>9</v>
      </c>
      <c r="I6">
        <f t="shared" si="1"/>
        <v>151.44999999999999</v>
      </c>
      <c r="J6">
        <f t="shared" si="2"/>
        <v>-5</v>
      </c>
    </row>
    <row r="7" spans="2:14" x14ac:dyDescent="0.3">
      <c r="B7" s="1">
        <v>44864</v>
      </c>
      <c r="C7" s="26">
        <v>44864.594247685192</v>
      </c>
      <c r="D7" s="44">
        <v>112.63</v>
      </c>
      <c r="E7" s="44">
        <v>5</v>
      </c>
      <c r="F7" s="44">
        <f t="shared" si="0"/>
        <v>4.439314569830418E-2</v>
      </c>
      <c r="G7" s="44" t="s">
        <v>10</v>
      </c>
      <c r="H7" s="3" t="s">
        <v>9</v>
      </c>
      <c r="I7">
        <f t="shared" si="1"/>
        <v>-112.63</v>
      </c>
      <c r="J7">
        <f t="shared" si="2"/>
        <v>5</v>
      </c>
      <c r="L7" t="s">
        <v>3</v>
      </c>
      <c r="M7" t="s">
        <v>11</v>
      </c>
      <c r="N7" t="s">
        <v>12</v>
      </c>
    </row>
    <row r="8" spans="2:14" x14ac:dyDescent="0.3">
      <c r="B8" s="1">
        <v>44867</v>
      </c>
      <c r="C8" s="26">
        <v>44867.806435185194</v>
      </c>
      <c r="D8" s="44">
        <v>128.06299999999999</v>
      </c>
      <c r="E8" s="44">
        <v>5</v>
      </c>
      <c r="F8" s="44">
        <f t="shared" si="0"/>
        <v>3.904328338395946E-2</v>
      </c>
      <c r="G8" s="44" t="s">
        <v>8</v>
      </c>
      <c r="H8" s="3" t="s">
        <v>9</v>
      </c>
      <c r="I8">
        <f t="shared" si="1"/>
        <v>128.06299999999999</v>
      </c>
      <c r="J8">
        <f t="shared" si="2"/>
        <v>-5</v>
      </c>
      <c r="L8">
        <f>SUM(I4:I51)</f>
        <v>0.53733065999949758</v>
      </c>
      <c r="M8">
        <f>-SUM(J4:J51)</f>
        <v>-22.053100000000001</v>
      </c>
      <c r="N8">
        <f>M8/L8</f>
        <v>-41.041953571048076</v>
      </c>
    </row>
    <row r="9" spans="2:14" x14ac:dyDescent="0.3">
      <c r="B9" s="1">
        <v>44869</v>
      </c>
      <c r="C9" s="26">
        <v>44869.175393518519</v>
      </c>
      <c r="D9" s="44">
        <v>147.34</v>
      </c>
      <c r="E9" s="44">
        <v>5</v>
      </c>
      <c r="F9" s="44">
        <f t="shared" si="0"/>
        <v>3.3935116058096917E-2</v>
      </c>
      <c r="G9" s="44" t="s">
        <v>8</v>
      </c>
      <c r="H9" s="3" t="s">
        <v>9</v>
      </c>
      <c r="I9">
        <f t="shared" si="1"/>
        <v>147.34</v>
      </c>
      <c r="J9">
        <f t="shared" si="2"/>
        <v>-5</v>
      </c>
    </row>
    <row r="10" spans="2:14" x14ac:dyDescent="0.3">
      <c r="B10" s="1">
        <v>44870</v>
      </c>
      <c r="C10" s="26">
        <v>44870.560868055552</v>
      </c>
      <c r="D10" s="44">
        <v>117.428</v>
      </c>
      <c r="E10" s="44">
        <v>5</v>
      </c>
      <c r="F10" s="44">
        <f t="shared" si="0"/>
        <v>4.2579282624246345E-2</v>
      </c>
      <c r="G10" s="44" t="s">
        <v>10</v>
      </c>
      <c r="H10" s="3" t="s">
        <v>9</v>
      </c>
      <c r="I10">
        <f t="shared" si="1"/>
        <v>-117.428</v>
      </c>
      <c r="J10">
        <f t="shared" si="2"/>
        <v>5</v>
      </c>
    </row>
    <row r="11" spans="2:14" x14ac:dyDescent="0.3">
      <c r="B11" s="1">
        <v>44872</v>
      </c>
      <c r="C11" s="26">
        <v>44872.013240740736</v>
      </c>
      <c r="D11" s="44">
        <v>135.63200000000001</v>
      </c>
      <c r="E11" s="44">
        <v>5</v>
      </c>
      <c r="F11" s="44">
        <f t="shared" si="0"/>
        <v>3.6864456765365101E-2</v>
      </c>
      <c r="G11" s="44" t="s">
        <v>8</v>
      </c>
      <c r="H11" s="3" t="s">
        <v>9</v>
      </c>
      <c r="I11">
        <f t="shared" si="1"/>
        <v>135.63200000000001</v>
      </c>
      <c r="J11">
        <f t="shared" si="2"/>
        <v>-5</v>
      </c>
    </row>
    <row r="12" spans="2:14" x14ac:dyDescent="0.3">
      <c r="C12" s="8">
        <v>44875.055555555547</v>
      </c>
      <c r="D12" s="44">
        <v>98.6</v>
      </c>
      <c r="E12" s="44">
        <v>2.5</v>
      </c>
      <c r="F12" s="44">
        <f t="shared" si="0"/>
        <v>2.5354969574036514E-2</v>
      </c>
      <c r="G12" s="44" t="s">
        <v>8</v>
      </c>
      <c r="H12" s="3" t="s">
        <v>9</v>
      </c>
      <c r="I12">
        <f t="shared" si="1"/>
        <v>98.6</v>
      </c>
      <c r="J12">
        <f t="shared" si="2"/>
        <v>-2.5</v>
      </c>
    </row>
    <row r="13" spans="2:14" x14ac:dyDescent="0.3">
      <c r="C13" s="8">
        <v>44876.898611111108</v>
      </c>
      <c r="D13" s="44">
        <v>77.92</v>
      </c>
      <c r="E13" s="44">
        <v>2.5</v>
      </c>
      <c r="F13" s="44">
        <f t="shared" si="0"/>
        <v>3.2084188911704309E-2</v>
      </c>
      <c r="G13" s="44" t="s">
        <v>10</v>
      </c>
      <c r="H13" s="3" t="s">
        <v>9</v>
      </c>
      <c r="I13">
        <f t="shared" si="1"/>
        <v>-77.92</v>
      </c>
      <c r="J13">
        <f t="shared" si="2"/>
        <v>2.5</v>
      </c>
    </row>
    <row r="14" spans="2:14" x14ac:dyDescent="0.3">
      <c r="C14" s="8">
        <v>44882.575694444437</v>
      </c>
      <c r="D14" s="44">
        <v>90.09</v>
      </c>
      <c r="E14" s="44">
        <v>2.5</v>
      </c>
      <c r="F14" s="44">
        <f t="shared" si="0"/>
        <v>2.7750027750027748E-2</v>
      </c>
      <c r="G14" s="44" t="s">
        <v>8</v>
      </c>
      <c r="H14" s="3" t="s">
        <v>9</v>
      </c>
      <c r="I14">
        <f t="shared" si="1"/>
        <v>90.09</v>
      </c>
      <c r="J14">
        <f t="shared" si="2"/>
        <v>-2.5</v>
      </c>
    </row>
    <row r="15" spans="2:14" x14ac:dyDescent="0.3">
      <c r="C15" s="8">
        <v>44885.879166666673</v>
      </c>
      <c r="D15" s="44">
        <v>186.6</v>
      </c>
      <c r="E15" s="44">
        <v>5</v>
      </c>
      <c r="F15" s="44">
        <f t="shared" si="0"/>
        <v>2.6795284030010719E-2</v>
      </c>
      <c r="G15" s="44" t="s">
        <v>8</v>
      </c>
      <c r="H15" s="3" t="s">
        <v>9</v>
      </c>
      <c r="I15">
        <f t="shared" si="1"/>
        <v>186.6</v>
      </c>
      <c r="J15">
        <f t="shared" si="2"/>
        <v>-5</v>
      </c>
    </row>
    <row r="16" spans="2:14" x14ac:dyDescent="0.3">
      <c r="C16" s="10">
        <v>44886.90625</v>
      </c>
      <c r="D16" s="11">
        <v>186.87</v>
      </c>
      <c r="E16" s="11">
        <v>4.5</v>
      </c>
      <c r="F16" s="11">
        <f t="shared" si="0"/>
        <v>2.4080911863862579E-2</v>
      </c>
      <c r="G16" s="11" t="s">
        <v>8</v>
      </c>
      <c r="H16" s="3" t="s">
        <v>9</v>
      </c>
      <c r="I16">
        <f t="shared" si="1"/>
        <v>186.87</v>
      </c>
      <c r="J16">
        <f t="shared" si="2"/>
        <v>-4.5</v>
      </c>
    </row>
    <row r="17" spans="2:10" x14ac:dyDescent="0.3">
      <c r="C17" s="10">
        <v>44901.988888888889</v>
      </c>
      <c r="D17" s="11">
        <v>186.06200000000001</v>
      </c>
      <c r="E17" s="11">
        <v>5</v>
      </c>
      <c r="F17" s="11">
        <f t="shared" si="0"/>
        <v>2.6872762842493361E-2</v>
      </c>
      <c r="G17" s="11" t="s">
        <v>10</v>
      </c>
      <c r="H17" s="3" t="s">
        <v>9</v>
      </c>
      <c r="I17">
        <f t="shared" si="1"/>
        <v>-186.06200000000001</v>
      </c>
      <c r="J17">
        <f t="shared" si="2"/>
        <v>5</v>
      </c>
    </row>
    <row r="18" spans="2:10" x14ac:dyDescent="0.3">
      <c r="C18" s="8">
        <v>44907.26458333333</v>
      </c>
      <c r="D18" s="44">
        <v>202.76</v>
      </c>
      <c r="E18" s="44">
        <v>5</v>
      </c>
      <c r="F18" s="44">
        <f t="shared" si="0"/>
        <v>2.465969619254291E-2</v>
      </c>
      <c r="G18" s="44" t="s">
        <v>8</v>
      </c>
      <c r="H18" s="3" t="s">
        <v>9</v>
      </c>
      <c r="I18">
        <f t="shared" si="1"/>
        <v>202.76</v>
      </c>
      <c r="J18">
        <f t="shared" si="2"/>
        <v>-5</v>
      </c>
    </row>
    <row r="19" spans="2:10" x14ac:dyDescent="0.3">
      <c r="B19" t="s">
        <v>13</v>
      </c>
      <c r="C19" s="8">
        <v>44915.254166666673</v>
      </c>
      <c r="D19" s="44">
        <v>128.22999999999999</v>
      </c>
      <c r="E19" s="44">
        <v>2.5</v>
      </c>
      <c r="F19" s="44">
        <f t="shared" si="0"/>
        <v>1.9496217733759653E-2</v>
      </c>
      <c r="G19" s="44" t="s">
        <v>8</v>
      </c>
      <c r="H19" s="3" t="s">
        <v>9</v>
      </c>
      <c r="I19">
        <f t="shared" si="1"/>
        <v>128.22999999999999</v>
      </c>
      <c r="J19">
        <f t="shared" si="2"/>
        <v>-2.5</v>
      </c>
    </row>
    <row r="20" spans="2:10" x14ac:dyDescent="0.3">
      <c r="C20" s="8">
        <v>44932.779166666667</v>
      </c>
      <c r="D20" s="44">
        <v>125</v>
      </c>
      <c r="E20" s="44">
        <v>2.5</v>
      </c>
      <c r="F20" s="44">
        <f t="shared" si="0"/>
        <v>0.02</v>
      </c>
      <c r="G20" s="44" t="s">
        <v>10</v>
      </c>
      <c r="H20" s="3" t="s">
        <v>9</v>
      </c>
      <c r="I20">
        <f t="shared" si="1"/>
        <v>-125</v>
      </c>
      <c r="J20">
        <f t="shared" si="2"/>
        <v>2.5</v>
      </c>
    </row>
    <row r="21" spans="2:10" x14ac:dyDescent="0.3">
      <c r="C21" s="8">
        <v>44934.882638888892</v>
      </c>
      <c r="D21" s="44">
        <v>414</v>
      </c>
      <c r="E21" s="44">
        <v>12.5</v>
      </c>
      <c r="F21" s="44">
        <f t="shared" si="0"/>
        <v>3.0193236714975844E-2</v>
      </c>
      <c r="G21" s="44" t="s">
        <v>10</v>
      </c>
      <c r="H21" s="3" t="s">
        <v>9</v>
      </c>
      <c r="I21">
        <f t="shared" si="1"/>
        <v>-414</v>
      </c>
      <c r="J21">
        <f t="shared" si="2"/>
        <v>12.5</v>
      </c>
    </row>
    <row r="22" spans="2:10" x14ac:dyDescent="0.3">
      <c r="C22" s="8">
        <v>44934.918749999997</v>
      </c>
      <c r="D22" s="44">
        <v>320</v>
      </c>
      <c r="E22" s="44">
        <v>10.08</v>
      </c>
      <c r="F22" s="44">
        <f t="shared" si="0"/>
        <v>3.15E-2</v>
      </c>
      <c r="G22" s="44" t="s">
        <v>10</v>
      </c>
      <c r="H22" s="3" t="s">
        <v>9</v>
      </c>
      <c r="I22">
        <f t="shared" si="1"/>
        <v>-320</v>
      </c>
      <c r="J22">
        <f t="shared" si="2"/>
        <v>10.08</v>
      </c>
    </row>
    <row r="23" spans="2:10" x14ac:dyDescent="0.3">
      <c r="C23" s="8">
        <v>44934.936805555553</v>
      </c>
      <c r="D23" s="44">
        <v>309.2688</v>
      </c>
      <c r="E23" s="44">
        <v>11.085000000000001</v>
      </c>
      <c r="F23" s="44">
        <f t="shared" si="0"/>
        <v>3.5842606819698593E-2</v>
      </c>
      <c r="G23" s="44" t="s">
        <v>10</v>
      </c>
      <c r="H23" s="3" t="s">
        <v>9</v>
      </c>
      <c r="I23">
        <f t="shared" si="1"/>
        <v>-309.2688</v>
      </c>
      <c r="J23">
        <f t="shared" si="2"/>
        <v>11.085000000000001</v>
      </c>
    </row>
    <row r="24" spans="2:10" x14ac:dyDescent="0.3">
      <c r="C24" s="8">
        <v>45018.361203703702</v>
      </c>
      <c r="D24" s="44">
        <v>110.029</v>
      </c>
      <c r="E24" s="44">
        <v>4.5336999999999996</v>
      </c>
      <c r="F24" s="44">
        <f t="shared" si="0"/>
        <v>4.1204591516781935E-2</v>
      </c>
      <c r="G24" s="44" t="s">
        <v>8</v>
      </c>
      <c r="H24" s="3" t="s">
        <v>9</v>
      </c>
      <c r="I24">
        <f t="shared" si="1"/>
        <v>110.029</v>
      </c>
      <c r="J24">
        <f t="shared" si="2"/>
        <v>-4.5336999999999996</v>
      </c>
    </row>
    <row r="25" spans="2:10" x14ac:dyDescent="0.3">
      <c r="C25" s="8">
        <v>45018.763240740736</v>
      </c>
      <c r="D25" s="44">
        <v>367.98</v>
      </c>
      <c r="E25" s="44">
        <v>14.737</v>
      </c>
      <c r="F25" s="44">
        <f t="shared" si="0"/>
        <v>4.0048372194140987E-2</v>
      </c>
      <c r="G25" s="44" t="s">
        <v>8</v>
      </c>
      <c r="H25" s="3" t="s">
        <v>9</v>
      </c>
      <c r="I25">
        <f t="shared" si="1"/>
        <v>367.98</v>
      </c>
      <c r="J25">
        <f t="shared" si="2"/>
        <v>-14.737</v>
      </c>
    </row>
    <row r="26" spans="2:10" x14ac:dyDescent="0.3">
      <c r="C26" s="8">
        <v>45048.529861111107</v>
      </c>
      <c r="D26" s="44">
        <v>537.99</v>
      </c>
      <c r="E26" s="44">
        <v>20</v>
      </c>
      <c r="F26" s="44">
        <f t="shared" si="0"/>
        <v>3.7175412182382572E-2</v>
      </c>
      <c r="G26" s="44" t="s">
        <v>8</v>
      </c>
      <c r="H26" s="3" t="s">
        <v>9</v>
      </c>
      <c r="I26">
        <f t="shared" si="1"/>
        <v>537.99</v>
      </c>
      <c r="J26">
        <f t="shared" si="2"/>
        <v>-20</v>
      </c>
    </row>
    <row r="27" spans="2:10" x14ac:dyDescent="0.3">
      <c r="C27" s="8">
        <v>45049.855555555558</v>
      </c>
      <c r="D27" s="44">
        <v>834.16449999999998</v>
      </c>
      <c r="E27" s="44">
        <v>30</v>
      </c>
      <c r="F27" s="44">
        <f t="shared" si="0"/>
        <v>3.5964129377359023E-2</v>
      </c>
      <c r="G27" s="44" t="s">
        <v>8</v>
      </c>
      <c r="H27" s="3" t="s">
        <v>9</v>
      </c>
      <c r="I27">
        <f t="shared" si="1"/>
        <v>834.16449999999998</v>
      </c>
      <c r="J27">
        <f t="shared" si="2"/>
        <v>-30</v>
      </c>
    </row>
    <row r="28" spans="2:10" x14ac:dyDescent="0.3">
      <c r="C28" s="8">
        <v>45051.939583333333</v>
      </c>
      <c r="D28" s="44">
        <v>322.37599999999998</v>
      </c>
      <c r="E28" s="44">
        <v>11.08</v>
      </c>
      <c r="F28" s="44">
        <f t="shared" si="0"/>
        <v>3.4369804203786887E-2</v>
      </c>
      <c r="G28" s="44" t="s">
        <v>8</v>
      </c>
      <c r="H28" s="3" t="s">
        <v>9</v>
      </c>
      <c r="I28">
        <f t="shared" si="1"/>
        <v>322.37599999999998</v>
      </c>
      <c r="J28">
        <f t="shared" si="2"/>
        <v>-11.08</v>
      </c>
    </row>
    <row r="29" spans="2:10" x14ac:dyDescent="0.3">
      <c r="C29" s="8">
        <v>45055.025000000001</v>
      </c>
      <c r="D29" s="44">
        <v>825.96199879999995</v>
      </c>
      <c r="E29" s="44">
        <v>23</v>
      </c>
      <c r="F29" s="44">
        <f t="shared" si="0"/>
        <v>2.7846317425517859E-2</v>
      </c>
      <c r="G29" s="44" t="s">
        <v>8</v>
      </c>
      <c r="H29" s="3" t="s">
        <v>9</v>
      </c>
      <c r="I29">
        <f t="shared" si="1"/>
        <v>825.96199879999995</v>
      </c>
      <c r="J29">
        <f t="shared" si="2"/>
        <v>-23</v>
      </c>
    </row>
    <row r="30" spans="2:10" x14ac:dyDescent="0.3">
      <c r="C30" s="8">
        <v>45084.897222222222</v>
      </c>
      <c r="D30" s="44">
        <v>763.42989455999998</v>
      </c>
      <c r="E30" s="44">
        <v>20</v>
      </c>
      <c r="F30" s="44">
        <f t="shared" si="0"/>
        <v>2.6197559386283827E-2</v>
      </c>
      <c r="G30" s="44" t="s">
        <v>8</v>
      </c>
      <c r="H30" s="3" t="s">
        <v>9</v>
      </c>
      <c r="I30">
        <f t="shared" si="1"/>
        <v>763.42989455999998</v>
      </c>
      <c r="J30">
        <f t="shared" si="2"/>
        <v>-20</v>
      </c>
    </row>
    <row r="31" spans="2:10" x14ac:dyDescent="0.3">
      <c r="C31" s="8">
        <v>45087.37222222222</v>
      </c>
      <c r="D31" s="44">
        <v>1210.02283227</v>
      </c>
      <c r="E31" s="44">
        <v>25</v>
      </c>
      <c r="F31" s="44">
        <f t="shared" si="0"/>
        <v>2.066076716345927E-2</v>
      </c>
      <c r="G31" s="44" t="s">
        <v>8</v>
      </c>
      <c r="H31" s="3" t="s">
        <v>9</v>
      </c>
      <c r="I31">
        <f t="shared" si="1"/>
        <v>1210.02283227</v>
      </c>
      <c r="J31">
        <f t="shared" si="2"/>
        <v>-25</v>
      </c>
    </row>
    <row r="32" spans="2:10" x14ac:dyDescent="0.3">
      <c r="C32" s="8">
        <v>45156.53402777778</v>
      </c>
      <c r="D32" s="44">
        <v>3136.424</v>
      </c>
      <c r="E32" s="44">
        <v>60.85</v>
      </c>
      <c r="F32" s="44">
        <f t="shared" si="0"/>
        <v>1.9401075874945481E-2</v>
      </c>
      <c r="G32" s="44" t="s">
        <v>8</v>
      </c>
      <c r="H32" s="3" t="s">
        <v>9</v>
      </c>
      <c r="I32">
        <f t="shared" si="1"/>
        <v>3136.424</v>
      </c>
      <c r="J32">
        <f t="shared" si="2"/>
        <v>-60.85</v>
      </c>
    </row>
    <row r="33" spans="3:10" x14ac:dyDescent="0.3">
      <c r="C33" s="8">
        <v>45200.824999999997</v>
      </c>
      <c r="D33" s="44">
        <v>1681.0279050300001</v>
      </c>
      <c r="E33" s="44">
        <v>25</v>
      </c>
      <c r="F33" s="44">
        <f t="shared" si="0"/>
        <v>1.4871853063946516E-2</v>
      </c>
      <c r="G33" s="44" t="s">
        <v>8</v>
      </c>
      <c r="H33" s="3" t="s">
        <v>9</v>
      </c>
      <c r="I33">
        <f t="shared" si="1"/>
        <v>1681.0279050300001</v>
      </c>
      <c r="J33">
        <f t="shared" si="2"/>
        <v>-25</v>
      </c>
    </row>
    <row r="34" spans="3:10" x14ac:dyDescent="0.3">
      <c r="C34" s="8">
        <v>44974.8825462963</v>
      </c>
      <c r="D34" s="7">
        <v>9789</v>
      </c>
      <c r="E34" s="7">
        <v>254.58879999999999</v>
      </c>
      <c r="F34" s="7">
        <f t="shared" si="0"/>
        <v>2.6007641229951986E-2</v>
      </c>
      <c r="G34" s="7" t="s">
        <v>10</v>
      </c>
      <c r="H34" s="3" t="s">
        <v>9</v>
      </c>
      <c r="I34">
        <f t="shared" si="1"/>
        <v>-9789</v>
      </c>
      <c r="J34">
        <f t="shared" si="2"/>
        <v>254.58879999999999</v>
      </c>
    </row>
    <row r="36" spans="3:10" x14ac:dyDescent="0.3">
      <c r="C36" s="62" t="s">
        <v>14</v>
      </c>
      <c r="D36" s="63"/>
      <c r="E36" s="63"/>
      <c r="F36" s="63"/>
      <c r="G36" s="63"/>
      <c r="H36" s="63"/>
      <c r="I36" s="63"/>
      <c r="J36" s="63"/>
    </row>
  </sheetData>
  <mergeCells count="2">
    <mergeCell ref="B2:G2"/>
    <mergeCell ref="C36:J3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7"/>
  <sheetViews>
    <sheetView workbookViewId="0">
      <selection activeCell="M27" sqref="M27"/>
    </sheetView>
  </sheetViews>
  <sheetFormatPr defaultRowHeight="14.4" x14ac:dyDescent="0.3"/>
  <cols>
    <col min="2" max="2" width="15.6640625" style="46" bestFit="1" customWidth="1"/>
    <col min="3" max="3" width="15.5546875" style="46" bestFit="1" customWidth="1"/>
    <col min="4" max="4" width="10.33203125" style="46" customWidth="1"/>
    <col min="6" max="6" width="12" style="46" bestFit="1" customWidth="1"/>
    <col min="7" max="7" width="10.21875" style="46" bestFit="1" customWidth="1"/>
    <col min="13" max="13" width="12" style="46" bestFit="1" customWidth="1"/>
  </cols>
  <sheetData>
    <row r="3" spans="2:13" x14ac:dyDescent="0.3">
      <c r="B3" s="64" t="s">
        <v>15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7" t="s">
        <v>17</v>
      </c>
    </row>
    <row r="5" spans="2:13" x14ac:dyDescent="0.3">
      <c r="B5" s="4">
        <v>44786.404166666667</v>
      </c>
      <c r="C5" s="44">
        <v>0.53</v>
      </c>
      <c r="D5" s="44">
        <v>5</v>
      </c>
      <c r="E5" s="44">
        <f t="shared" ref="E5:E27" si="0">D5/C5</f>
        <v>9.4339622641509422</v>
      </c>
      <c r="F5" s="44" t="s">
        <v>8</v>
      </c>
      <c r="H5">
        <f t="shared" ref="H5:H27" si="1">IF($F5="BUY",C5,-C5)</f>
        <v>0.53</v>
      </c>
      <c r="I5">
        <f t="shared" ref="I5:I27" si="2">IF($F5="BUY",-D5,D5)</f>
        <v>-5</v>
      </c>
    </row>
    <row r="6" spans="2:13" x14ac:dyDescent="0.3">
      <c r="B6" s="4">
        <v>44788.493055555547</v>
      </c>
      <c r="C6" s="44">
        <v>0.57899999999999996</v>
      </c>
      <c r="D6" s="44">
        <v>5</v>
      </c>
      <c r="E6" s="44">
        <f t="shared" si="0"/>
        <v>8.6355785837651133</v>
      </c>
      <c r="F6" s="44" t="s">
        <v>8</v>
      </c>
      <c r="H6">
        <f t="shared" si="1"/>
        <v>0.57899999999999996</v>
      </c>
      <c r="I6">
        <f t="shared" si="2"/>
        <v>-5</v>
      </c>
    </row>
    <row r="7" spans="2:13" x14ac:dyDescent="0.3">
      <c r="B7" s="4">
        <v>44791.936111111107</v>
      </c>
      <c r="C7" s="44">
        <v>0.62029999999999996</v>
      </c>
      <c r="D7" s="44">
        <v>5</v>
      </c>
      <c r="E7" s="44">
        <f t="shared" si="0"/>
        <v>8.0606158310494926</v>
      </c>
      <c r="F7" s="44" t="s">
        <v>8</v>
      </c>
      <c r="H7">
        <f t="shared" si="1"/>
        <v>0.62029999999999996</v>
      </c>
      <c r="I7">
        <f t="shared" si="2"/>
        <v>-5</v>
      </c>
    </row>
    <row r="8" spans="2:13" x14ac:dyDescent="0.3">
      <c r="B8" s="4">
        <v>44792.401388888888</v>
      </c>
      <c r="C8" s="44">
        <v>1.44</v>
      </c>
      <c r="D8" s="44">
        <v>10</v>
      </c>
      <c r="E8" s="44">
        <f t="shared" si="0"/>
        <v>6.9444444444444446</v>
      </c>
      <c r="F8" s="44" t="s">
        <v>8</v>
      </c>
      <c r="H8">
        <f t="shared" si="1"/>
        <v>1.44</v>
      </c>
      <c r="I8">
        <f t="shared" si="2"/>
        <v>-10</v>
      </c>
    </row>
    <row r="9" spans="2:13" x14ac:dyDescent="0.3">
      <c r="B9" s="4">
        <v>44802.640277777777</v>
      </c>
      <c r="C9" s="44">
        <v>0.78100000000000003</v>
      </c>
      <c r="D9" s="44">
        <v>5</v>
      </c>
      <c r="E9" s="44">
        <f t="shared" si="0"/>
        <v>6.4020486555697822</v>
      </c>
      <c r="F9" s="44" t="s">
        <v>8</v>
      </c>
      <c r="H9">
        <f t="shared" si="1"/>
        <v>0.78100000000000003</v>
      </c>
      <c r="I9">
        <f t="shared" si="2"/>
        <v>-5</v>
      </c>
    </row>
    <row r="10" spans="2:13" x14ac:dyDescent="0.3">
      <c r="B10" s="4">
        <v>44864.988888888889</v>
      </c>
      <c r="C10" s="44">
        <v>0.63700000000000001</v>
      </c>
      <c r="D10" s="44">
        <v>5</v>
      </c>
      <c r="E10" s="44">
        <f t="shared" si="0"/>
        <v>7.8492935635792778</v>
      </c>
      <c r="F10" s="44" t="s">
        <v>10</v>
      </c>
      <c r="H10">
        <f t="shared" si="1"/>
        <v>-0.63700000000000001</v>
      </c>
      <c r="I10">
        <f t="shared" si="2"/>
        <v>5</v>
      </c>
    </row>
    <row r="11" spans="2:13" x14ac:dyDescent="0.3">
      <c r="B11" s="4">
        <v>44872.961805555547</v>
      </c>
      <c r="C11" s="44">
        <v>1.1140000000000001</v>
      </c>
      <c r="D11" s="44">
        <v>10</v>
      </c>
      <c r="E11" s="44">
        <f t="shared" si="0"/>
        <v>8.9766606822262105</v>
      </c>
      <c r="F11" s="44" t="s">
        <v>10</v>
      </c>
      <c r="H11">
        <f t="shared" si="1"/>
        <v>-1.1140000000000001</v>
      </c>
      <c r="I11">
        <f t="shared" si="2"/>
        <v>10</v>
      </c>
    </row>
    <row r="12" spans="2:13" x14ac:dyDescent="0.3">
      <c r="B12" s="4">
        <v>44873.773611111108</v>
      </c>
      <c r="C12" s="44">
        <v>0.53600000000000003</v>
      </c>
      <c r="D12" s="44">
        <v>5</v>
      </c>
      <c r="E12" s="44">
        <f t="shared" si="0"/>
        <v>9.3283582089552226</v>
      </c>
      <c r="F12" s="44" t="s">
        <v>10</v>
      </c>
      <c r="H12">
        <f t="shared" si="1"/>
        <v>-0.53600000000000003</v>
      </c>
      <c r="I12">
        <f t="shared" si="2"/>
        <v>5</v>
      </c>
    </row>
    <row r="13" spans="2:13" x14ac:dyDescent="0.3">
      <c r="B13" s="4">
        <v>44873.852777777778</v>
      </c>
      <c r="C13" s="44">
        <v>1.2606999999999999</v>
      </c>
      <c r="D13" s="44">
        <v>10</v>
      </c>
      <c r="E13" s="44">
        <f t="shared" si="0"/>
        <v>7.9321012136114861</v>
      </c>
      <c r="F13" s="44" t="s">
        <v>8</v>
      </c>
      <c r="H13">
        <f t="shared" si="1"/>
        <v>1.2606999999999999</v>
      </c>
      <c r="I13">
        <f t="shared" si="2"/>
        <v>-10</v>
      </c>
    </row>
    <row r="14" spans="2:13" x14ac:dyDescent="0.3">
      <c r="B14" s="4">
        <v>44873.901388888888</v>
      </c>
      <c r="C14" s="44">
        <v>0.67900000000000005</v>
      </c>
      <c r="D14" s="44">
        <v>5</v>
      </c>
      <c r="E14" s="44">
        <f t="shared" si="0"/>
        <v>7.3637702503681881</v>
      </c>
      <c r="F14" s="44" t="s">
        <v>8</v>
      </c>
      <c r="H14">
        <f t="shared" si="1"/>
        <v>0.67900000000000005</v>
      </c>
      <c r="I14">
        <f t="shared" si="2"/>
        <v>-5</v>
      </c>
    </row>
    <row r="15" spans="2:13" x14ac:dyDescent="0.3">
      <c r="B15" s="4">
        <v>44879.311805555553</v>
      </c>
      <c r="C15" s="44">
        <v>0.8669</v>
      </c>
      <c r="D15" s="44">
        <v>5</v>
      </c>
      <c r="E15" s="44">
        <f t="shared" si="0"/>
        <v>5.7676779328642285</v>
      </c>
      <c r="F15" s="44" t="s">
        <v>8</v>
      </c>
      <c r="H15">
        <f t="shared" si="1"/>
        <v>0.8669</v>
      </c>
      <c r="I15">
        <f t="shared" si="2"/>
        <v>-5</v>
      </c>
      <c r="K15" t="s">
        <v>3</v>
      </c>
      <c r="L15" t="s">
        <v>11</v>
      </c>
      <c r="M15" t="s">
        <v>12</v>
      </c>
    </row>
    <row r="16" spans="2:13" x14ac:dyDescent="0.3">
      <c r="B16" s="4">
        <v>44886.326388888891</v>
      </c>
      <c r="C16" s="44">
        <v>0.86099999999999999</v>
      </c>
      <c r="D16" s="44">
        <v>5</v>
      </c>
      <c r="E16" s="44">
        <f t="shared" si="0"/>
        <v>5.8072009291521489</v>
      </c>
      <c r="F16" s="44" t="s">
        <v>8</v>
      </c>
      <c r="H16">
        <f t="shared" si="1"/>
        <v>0.86099999999999999</v>
      </c>
      <c r="I16">
        <f t="shared" si="2"/>
        <v>-5</v>
      </c>
      <c r="K16">
        <f>SUM($H1:$H32)</f>
        <v>3.7420199999989023E-3</v>
      </c>
      <c r="L16">
        <f>-SUM($I1:$I32)</f>
        <v>-26.324559999999998</v>
      </c>
      <c r="M16">
        <f>L16/K16</f>
        <v>-7034.8528334984103</v>
      </c>
    </row>
    <row r="17" spans="2:9" x14ac:dyDescent="0.3">
      <c r="B17" s="4">
        <v>44886.927083333343</v>
      </c>
      <c r="C17" s="44">
        <v>0.78979999999999995</v>
      </c>
      <c r="D17" s="44">
        <v>5</v>
      </c>
      <c r="E17" s="44">
        <f t="shared" si="0"/>
        <v>6.3307166371233228</v>
      </c>
      <c r="F17" s="44" t="s">
        <v>8</v>
      </c>
      <c r="H17">
        <f t="shared" si="1"/>
        <v>0.78979999999999995</v>
      </c>
      <c r="I17">
        <f t="shared" si="2"/>
        <v>-5</v>
      </c>
    </row>
    <row r="18" spans="2:9" x14ac:dyDescent="0.3">
      <c r="B18" s="4">
        <v>44888.884722222218</v>
      </c>
      <c r="C18" s="44">
        <v>1.5</v>
      </c>
      <c r="D18" s="44">
        <v>10</v>
      </c>
      <c r="E18" s="44">
        <f t="shared" si="0"/>
        <v>6.666666666666667</v>
      </c>
      <c r="F18" s="44" t="s">
        <v>10</v>
      </c>
      <c r="H18">
        <f t="shared" si="1"/>
        <v>-1.5</v>
      </c>
      <c r="I18">
        <f t="shared" si="2"/>
        <v>10</v>
      </c>
    </row>
    <row r="19" spans="2:9" x14ac:dyDescent="0.3">
      <c r="B19" s="4">
        <v>44895.068055555559</v>
      </c>
      <c r="C19" s="44">
        <v>0.68330000000000002</v>
      </c>
      <c r="D19" s="44">
        <v>5</v>
      </c>
      <c r="E19" s="44">
        <f t="shared" si="0"/>
        <v>7.3174301185423678</v>
      </c>
      <c r="F19" s="44" t="s">
        <v>10</v>
      </c>
      <c r="H19">
        <f t="shared" si="1"/>
        <v>-0.68330000000000002</v>
      </c>
      <c r="I19">
        <f t="shared" si="2"/>
        <v>5</v>
      </c>
    </row>
    <row r="20" spans="2:9" x14ac:dyDescent="0.3">
      <c r="B20" s="4">
        <v>44911.643750000003</v>
      </c>
      <c r="C20" s="44">
        <v>1.1990000000000001</v>
      </c>
      <c r="D20" s="44">
        <v>7.5</v>
      </c>
      <c r="E20" s="44">
        <f t="shared" si="0"/>
        <v>6.2552126772310253</v>
      </c>
      <c r="F20" s="44" t="s">
        <v>8</v>
      </c>
      <c r="H20">
        <f t="shared" si="1"/>
        <v>1.1990000000000001</v>
      </c>
      <c r="I20">
        <f t="shared" si="2"/>
        <v>-7.5</v>
      </c>
    </row>
    <row r="21" spans="2:9" x14ac:dyDescent="0.3">
      <c r="B21" s="4">
        <v>44915.247916666667</v>
      </c>
      <c r="C21" s="44">
        <v>1.2475000000000001</v>
      </c>
      <c r="D21" s="44">
        <v>7.5</v>
      </c>
      <c r="E21" s="44">
        <f t="shared" si="0"/>
        <v>6.0120240480961922</v>
      </c>
      <c r="F21" s="44" t="s">
        <v>8</v>
      </c>
      <c r="H21">
        <f t="shared" si="1"/>
        <v>1.2475000000000001</v>
      </c>
      <c r="I21">
        <f t="shared" si="2"/>
        <v>-7.5</v>
      </c>
    </row>
    <row r="22" spans="2:9" x14ac:dyDescent="0.3">
      <c r="B22" s="4">
        <v>44923.132638888892</v>
      </c>
      <c r="C22" s="44">
        <v>1.74</v>
      </c>
      <c r="D22" s="44">
        <v>10.095000000000001</v>
      </c>
      <c r="E22" s="44">
        <f t="shared" si="0"/>
        <v>5.8017241379310347</v>
      </c>
      <c r="F22" s="44" t="s">
        <v>8</v>
      </c>
      <c r="H22">
        <f t="shared" si="1"/>
        <v>1.74</v>
      </c>
      <c r="I22">
        <f t="shared" si="2"/>
        <v>-10.095000000000001</v>
      </c>
    </row>
    <row r="23" spans="2:9" x14ac:dyDescent="0.3">
      <c r="B23" s="4">
        <v>44975.845138888893</v>
      </c>
      <c r="C23" s="44">
        <v>4.0599999999999996</v>
      </c>
      <c r="D23" s="44">
        <v>32.93</v>
      </c>
      <c r="E23" s="44">
        <f t="shared" si="0"/>
        <v>8.1108374384236459</v>
      </c>
      <c r="F23" s="44" t="s">
        <v>10</v>
      </c>
      <c r="H23">
        <f t="shared" si="1"/>
        <v>-4.0599999999999996</v>
      </c>
      <c r="I23">
        <f t="shared" si="2"/>
        <v>32.93</v>
      </c>
    </row>
    <row r="24" spans="2:9" x14ac:dyDescent="0.3">
      <c r="B24" s="4">
        <v>44994.931944444441</v>
      </c>
      <c r="C24" s="44">
        <v>5.2879620200000002</v>
      </c>
      <c r="D24" s="44">
        <v>33</v>
      </c>
      <c r="E24" s="44">
        <f t="shared" si="0"/>
        <v>6.2405894511322533</v>
      </c>
      <c r="F24" s="44" t="s">
        <v>8</v>
      </c>
      <c r="H24">
        <f t="shared" si="1"/>
        <v>5.2879620200000002</v>
      </c>
      <c r="I24">
        <f t="shared" si="2"/>
        <v>-33</v>
      </c>
    </row>
    <row r="25" spans="2:9" x14ac:dyDescent="0.3">
      <c r="B25" s="4">
        <v>45046.548888888887</v>
      </c>
      <c r="C25" s="44">
        <v>4.1412899999999997</v>
      </c>
      <c r="D25" s="44">
        <v>30</v>
      </c>
      <c r="E25" s="44">
        <f t="shared" si="0"/>
        <v>7.2441195859261249</v>
      </c>
      <c r="F25" s="44" t="s">
        <v>10</v>
      </c>
      <c r="H25">
        <f t="shared" si="1"/>
        <v>-4.1412899999999997</v>
      </c>
      <c r="I25">
        <f t="shared" si="2"/>
        <v>30</v>
      </c>
    </row>
    <row r="26" spans="2:9" x14ac:dyDescent="0.3">
      <c r="B26" s="4">
        <v>45048.528298611112</v>
      </c>
      <c r="C26" s="44">
        <v>4.3531700000000004</v>
      </c>
      <c r="D26" s="44">
        <v>30</v>
      </c>
      <c r="E26" s="44">
        <f t="shared" si="0"/>
        <v>6.8915296209428982</v>
      </c>
      <c r="F26" s="44" t="s">
        <v>8</v>
      </c>
      <c r="H26">
        <f t="shared" si="1"/>
        <v>4.3531700000000004</v>
      </c>
      <c r="I26">
        <f t="shared" si="2"/>
        <v>-30</v>
      </c>
    </row>
    <row r="27" spans="2:9" x14ac:dyDescent="0.3">
      <c r="B27" s="4">
        <v>45127.52847222222</v>
      </c>
      <c r="C27" s="44">
        <v>9.56</v>
      </c>
      <c r="D27" s="44">
        <v>76.489559999999997</v>
      </c>
      <c r="E27" s="44">
        <f t="shared" si="0"/>
        <v>8.0009999999999994</v>
      </c>
      <c r="F27" s="7" t="s">
        <v>10</v>
      </c>
      <c r="G27" t="s">
        <v>18</v>
      </c>
      <c r="H27">
        <f t="shared" si="1"/>
        <v>-9.56</v>
      </c>
      <c r="I27">
        <f t="shared" si="2"/>
        <v>76.489559999999997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2"/>
  <sheetViews>
    <sheetView workbookViewId="0">
      <selection activeCell="C27" sqref="C27"/>
    </sheetView>
  </sheetViews>
  <sheetFormatPr defaultRowHeight="14.4" x14ac:dyDescent="0.3"/>
  <cols>
    <col min="2" max="2" width="15.6640625" style="46" bestFit="1" customWidth="1"/>
    <col min="6" max="6" width="13.33203125" style="46" bestFit="1" customWidth="1"/>
    <col min="12" max="12" width="9.6640625" style="46" bestFit="1" customWidth="1"/>
    <col min="13" max="13" width="15.77734375" style="46" bestFit="1" customWidth="1"/>
    <col min="14" max="14" width="14.77734375" style="46" bestFit="1" customWidth="1"/>
    <col min="16" max="16" width="20.6640625" style="46" bestFit="1" customWidth="1"/>
  </cols>
  <sheetData>
    <row r="3" spans="2:16" x14ac:dyDescent="0.3">
      <c r="B3" s="64" t="s">
        <v>19</v>
      </c>
      <c r="C3" s="65"/>
      <c r="D3" s="65"/>
      <c r="E3" s="65"/>
      <c r="F3" s="65"/>
    </row>
    <row r="4" spans="2:16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7" t="s">
        <v>7</v>
      </c>
    </row>
    <row r="5" spans="2:16" x14ac:dyDescent="0.3">
      <c r="B5" s="4" t="s">
        <v>20</v>
      </c>
      <c r="C5" s="44">
        <v>50.42</v>
      </c>
      <c r="D5" s="44">
        <v>15</v>
      </c>
      <c r="E5" s="44">
        <f t="shared" ref="E5:E22" si="0">D5/C5</f>
        <v>0.29750099166997224</v>
      </c>
      <c r="F5" s="44" t="s">
        <v>8</v>
      </c>
      <c r="H5">
        <f t="shared" ref="H5:H10" si="1">IF($F5="BUY",C5,-C5)</f>
        <v>50.42</v>
      </c>
      <c r="I5">
        <f t="shared" ref="I5:I22" si="2">IF($F5="BUY",-D5,D5)</f>
        <v>-15</v>
      </c>
      <c r="K5" t="s">
        <v>3</v>
      </c>
      <c r="L5" t="s">
        <v>11</v>
      </c>
      <c r="M5" t="s">
        <v>12</v>
      </c>
    </row>
    <row r="6" spans="2:16" x14ac:dyDescent="0.3">
      <c r="B6" s="4">
        <v>44847.606249999997</v>
      </c>
      <c r="C6" s="44">
        <v>23.8</v>
      </c>
      <c r="D6" s="44">
        <v>5</v>
      </c>
      <c r="E6" s="44">
        <f t="shared" si="0"/>
        <v>0.21008403361344538</v>
      </c>
      <c r="F6" s="44" t="s">
        <v>8</v>
      </c>
      <c r="H6">
        <f t="shared" si="1"/>
        <v>23.8</v>
      </c>
      <c r="I6">
        <f t="shared" si="2"/>
        <v>-5</v>
      </c>
      <c r="K6">
        <f>SUM($H$5:$H25)</f>
        <v>291.04509717999997</v>
      </c>
      <c r="L6">
        <f>-SUM($I$5:$I25)</f>
        <v>49.992000000000004</v>
      </c>
      <c r="M6">
        <f>L6/K6</f>
        <v>0.17176719513361846</v>
      </c>
    </row>
    <row r="7" spans="2:16" x14ac:dyDescent="0.3">
      <c r="B7" s="4">
        <v>44863.930555555547</v>
      </c>
      <c r="C7" s="44">
        <v>18.649999999999999</v>
      </c>
      <c r="D7" s="44">
        <v>5</v>
      </c>
      <c r="E7" s="44">
        <f t="shared" si="0"/>
        <v>0.26809651474530832</v>
      </c>
      <c r="F7" s="44" t="s">
        <v>10</v>
      </c>
      <c r="H7">
        <f t="shared" si="1"/>
        <v>-18.649999999999999</v>
      </c>
      <c r="I7">
        <f t="shared" si="2"/>
        <v>5</v>
      </c>
    </row>
    <row r="8" spans="2:16" x14ac:dyDescent="0.3">
      <c r="B8" s="4">
        <v>44873.902777777781</v>
      </c>
      <c r="C8" s="44">
        <v>24.82</v>
      </c>
      <c r="D8" s="44">
        <v>5</v>
      </c>
      <c r="E8" s="44">
        <f t="shared" si="0"/>
        <v>0.20145044319097502</v>
      </c>
      <c r="F8" s="44" t="s">
        <v>8</v>
      </c>
      <c r="H8">
        <f t="shared" si="1"/>
        <v>24.82</v>
      </c>
      <c r="I8">
        <f t="shared" si="2"/>
        <v>-5</v>
      </c>
    </row>
    <row r="9" spans="2:16" x14ac:dyDescent="0.3">
      <c r="B9" s="4">
        <v>44875.040277777778</v>
      </c>
      <c r="C9" s="44">
        <v>31.01</v>
      </c>
      <c r="D9" s="44">
        <v>5</v>
      </c>
      <c r="E9" s="44">
        <f t="shared" si="0"/>
        <v>0.16123831022250887</v>
      </c>
      <c r="F9" s="44" t="s">
        <v>8</v>
      </c>
      <c r="H9">
        <f t="shared" si="1"/>
        <v>31.01</v>
      </c>
      <c r="I9">
        <f t="shared" si="2"/>
        <v>-5</v>
      </c>
    </row>
    <row r="10" spans="2:16" x14ac:dyDescent="0.3">
      <c r="B10" s="4">
        <v>44886.888194444437</v>
      </c>
      <c r="C10" s="44">
        <v>28.914000000000001</v>
      </c>
      <c r="D10" s="44">
        <v>5</v>
      </c>
      <c r="E10" s="44">
        <f t="shared" si="0"/>
        <v>0.17292660994673859</v>
      </c>
      <c r="F10" s="44" t="s">
        <v>10</v>
      </c>
      <c r="H10">
        <f t="shared" si="1"/>
        <v>-28.914000000000001</v>
      </c>
      <c r="I10">
        <f t="shared" si="2"/>
        <v>5</v>
      </c>
      <c r="K10" s="55"/>
      <c r="L10" s="55"/>
      <c r="M10" s="55" t="s">
        <v>21</v>
      </c>
      <c r="N10" s="55" t="s">
        <v>8</v>
      </c>
      <c r="O10" s="55" t="s">
        <v>10</v>
      </c>
      <c r="P10" s="55"/>
    </row>
    <row r="11" spans="2:16" x14ac:dyDescent="0.3">
      <c r="B11" s="4">
        <v>44886.893750000003</v>
      </c>
      <c r="C11" s="44">
        <v>54.54</v>
      </c>
      <c r="D11" s="44">
        <v>0</v>
      </c>
      <c r="E11" s="44">
        <f t="shared" si="0"/>
        <v>0</v>
      </c>
      <c r="F11" s="44" t="s">
        <v>22</v>
      </c>
      <c r="H11">
        <v>0</v>
      </c>
      <c r="I11">
        <f t="shared" si="2"/>
        <v>0</v>
      </c>
      <c r="K11" s="55" t="s">
        <v>23</v>
      </c>
      <c r="L11" s="55" t="s">
        <v>24</v>
      </c>
      <c r="M11" s="55" t="s">
        <v>25</v>
      </c>
      <c r="N11" s="55" t="s">
        <v>26</v>
      </c>
      <c r="O11" s="55">
        <v>0.26</v>
      </c>
    </row>
    <row r="12" spans="2:16" ht="19.2" customHeight="1" x14ac:dyDescent="0.3">
      <c r="B12" s="4">
        <v>44907.261111111111</v>
      </c>
      <c r="C12" s="44">
        <v>29.923999999999999</v>
      </c>
      <c r="D12" s="44">
        <v>5</v>
      </c>
      <c r="E12" s="44">
        <f t="shared" si="0"/>
        <v>0.16708996123512901</v>
      </c>
      <c r="F12" s="44" t="s">
        <v>8</v>
      </c>
      <c r="H12">
        <f>IF($F12="BUY",C12,-C12)</f>
        <v>29.923999999999999</v>
      </c>
      <c r="I12">
        <f t="shared" si="2"/>
        <v>-5</v>
      </c>
      <c r="K12" s="55"/>
      <c r="L12" s="55"/>
      <c r="M12" s="55"/>
      <c r="N12" s="55"/>
      <c r="O12" s="55"/>
    </row>
    <row r="13" spans="2:16" ht="17.399999999999999" customHeight="1" x14ac:dyDescent="0.3">
      <c r="B13" s="4">
        <v>44914.054861111108</v>
      </c>
      <c r="C13" s="44">
        <v>16.899999999999999</v>
      </c>
      <c r="D13" s="44">
        <v>2.5</v>
      </c>
      <c r="E13" s="44">
        <f t="shared" si="0"/>
        <v>0.14792899408284024</v>
      </c>
      <c r="F13" s="44" t="s">
        <v>8</v>
      </c>
      <c r="H13">
        <f>IF($F13="BUY",C13,-C13)</f>
        <v>16.899999999999999</v>
      </c>
      <c r="I13">
        <f t="shared" si="2"/>
        <v>-2.5</v>
      </c>
    </row>
    <row r="14" spans="2:16" x14ac:dyDescent="0.3">
      <c r="B14" s="4">
        <v>44916.952777777777</v>
      </c>
      <c r="C14" s="44">
        <v>18.236999999999998</v>
      </c>
      <c r="D14" s="44">
        <v>2.5</v>
      </c>
      <c r="E14" s="44">
        <f t="shared" si="0"/>
        <v>0.13708395021110931</v>
      </c>
      <c r="F14" s="44" t="s">
        <v>8</v>
      </c>
      <c r="H14">
        <f>IF($F14="BUY",C14,-C14)</f>
        <v>18.236999999999998</v>
      </c>
      <c r="I14">
        <f t="shared" si="2"/>
        <v>-2.5</v>
      </c>
    </row>
    <row r="15" spans="2:16" x14ac:dyDescent="0.3">
      <c r="B15" s="4">
        <v>44961.732303240737</v>
      </c>
      <c r="C15" s="44">
        <v>38.978009999999998</v>
      </c>
      <c r="D15" s="44">
        <v>10</v>
      </c>
      <c r="E15" s="44">
        <f t="shared" si="0"/>
        <v>0.25655491391171587</v>
      </c>
      <c r="F15" s="44" t="s">
        <v>10</v>
      </c>
      <c r="H15">
        <f>IF($F15="BUY",C15,-C15)</f>
        <v>-38.978009999999998</v>
      </c>
      <c r="I15">
        <f t="shared" si="2"/>
        <v>10</v>
      </c>
    </row>
    <row r="16" spans="2:16" x14ac:dyDescent="0.3">
      <c r="B16" s="4">
        <v>44961.734027777777</v>
      </c>
      <c r="C16" s="44">
        <v>25.53</v>
      </c>
      <c r="D16" s="44">
        <v>0</v>
      </c>
      <c r="E16" s="44">
        <f t="shared" si="0"/>
        <v>0</v>
      </c>
      <c r="F16" s="44" t="s">
        <v>22</v>
      </c>
      <c r="H16">
        <v>0</v>
      </c>
      <c r="I16">
        <f t="shared" si="2"/>
        <v>0</v>
      </c>
    </row>
    <row r="17" spans="2:9" x14ac:dyDescent="0.3">
      <c r="B17" s="4">
        <v>44972.94121527778</v>
      </c>
      <c r="C17" s="44">
        <v>27.576879999999999</v>
      </c>
      <c r="D17" s="44">
        <v>7.2080000000000002</v>
      </c>
      <c r="E17" s="44">
        <f t="shared" si="0"/>
        <v>0.26137837202758252</v>
      </c>
      <c r="F17" s="44" t="s">
        <v>10</v>
      </c>
      <c r="H17">
        <f t="shared" ref="H17:H22" si="3">IF($F17="BUY",C17,-C17)</f>
        <v>-27.576879999999999</v>
      </c>
      <c r="I17">
        <f t="shared" si="2"/>
        <v>7.2080000000000002</v>
      </c>
    </row>
    <row r="18" spans="2:9" x14ac:dyDescent="0.3">
      <c r="B18" s="4">
        <v>44988.828634259262</v>
      </c>
      <c r="C18" s="44">
        <v>49.77</v>
      </c>
      <c r="D18" s="44">
        <v>10</v>
      </c>
      <c r="E18" s="44">
        <f t="shared" si="0"/>
        <v>0.20092425155716293</v>
      </c>
      <c r="F18" s="44" t="s">
        <v>8</v>
      </c>
      <c r="H18">
        <f t="shared" si="3"/>
        <v>49.77</v>
      </c>
      <c r="I18">
        <f t="shared" si="2"/>
        <v>-10</v>
      </c>
    </row>
    <row r="19" spans="2:9" x14ac:dyDescent="0.3">
      <c r="B19" s="4">
        <v>44993.790972222218</v>
      </c>
      <c r="C19" s="44">
        <v>39.368000000000002</v>
      </c>
      <c r="D19" s="44">
        <v>7.2</v>
      </c>
      <c r="E19" s="44">
        <f t="shared" si="0"/>
        <v>0.1828896565738671</v>
      </c>
      <c r="F19" s="44" t="s">
        <v>8</v>
      </c>
      <c r="H19">
        <f t="shared" si="3"/>
        <v>39.368000000000002</v>
      </c>
      <c r="I19">
        <f t="shared" si="2"/>
        <v>-7.2</v>
      </c>
    </row>
    <row r="20" spans="2:9" x14ac:dyDescent="0.3">
      <c r="B20" s="4">
        <v>45053.913101851853</v>
      </c>
      <c r="C20" s="44">
        <v>120.29600000000001</v>
      </c>
      <c r="D20" s="44">
        <v>20</v>
      </c>
      <c r="E20" s="44">
        <f t="shared" si="0"/>
        <v>0.16625656713440179</v>
      </c>
      <c r="F20" s="44" t="s">
        <v>8</v>
      </c>
      <c r="H20">
        <f t="shared" si="3"/>
        <v>120.29600000000001</v>
      </c>
      <c r="I20">
        <f t="shared" si="2"/>
        <v>-20</v>
      </c>
    </row>
    <row r="21" spans="2:9" x14ac:dyDescent="0.3">
      <c r="B21" s="4">
        <v>45083.01458333333</v>
      </c>
      <c r="C21" s="44">
        <v>170.61898718</v>
      </c>
      <c r="D21" s="44">
        <v>20</v>
      </c>
      <c r="E21" s="44">
        <f t="shared" si="0"/>
        <v>0.11722024805422362</v>
      </c>
      <c r="F21" s="44" t="s">
        <v>8</v>
      </c>
      <c r="G21" t="s">
        <v>27</v>
      </c>
      <c r="H21">
        <f t="shared" si="3"/>
        <v>170.61898718</v>
      </c>
      <c r="I21">
        <f t="shared" si="2"/>
        <v>-20</v>
      </c>
    </row>
    <row r="22" spans="2:9" x14ac:dyDescent="0.3">
      <c r="B22" s="4">
        <v>45186.569444444453</v>
      </c>
      <c r="C22" s="35">
        <v>170</v>
      </c>
      <c r="D22" s="44">
        <v>20</v>
      </c>
      <c r="E22" s="44">
        <f t="shared" si="0"/>
        <v>0.11764705882352941</v>
      </c>
      <c r="F22" s="44" t="s">
        <v>10</v>
      </c>
      <c r="H22">
        <f t="shared" si="3"/>
        <v>-170</v>
      </c>
      <c r="I22">
        <f t="shared" si="2"/>
        <v>20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41"/>
  <sheetViews>
    <sheetView topLeftCell="A7" workbookViewId="0">
      <selection activeCell="F33" sqref="F33"/>
    </sheetView>
  </sheetViews>
  <sheetFormatPr defaultRowHeight="14.4" x14ac:dyDescent="0.3"/>
  <cols>
    <col min="2" max="2" width="15.6640625" style="46" bestFit="1" customWidth="1"/>
    <col min="3" max="3" width="11" style="46" bestFit="1" customWidth="1"/>
    <col min="5" max="5" width="12" style="46" bestFit="1" customWidth="1"/>
    <col min="6" max="6" width="15" style="46" bestFit="1" customWidth="1"/>
    <col min="7" max="7" width="28.77734375" style="46" bestFit="1" customWidth="1"/>
    <col min="8" max="8" width="19.5546875" style="46" customWidth="1"/>
  </cols>
  <sheetData>
    <row r="4" spans="2:13" x14ac:dyDescent="0.3">
      <c r="B4" s="62" t="s">
        <v>28</v>
      </c>
      <c r="C4" s="63"/>
      <c r="D4" s="63"/>
      <c r="E4" s="63"/>
      <c r="F4" s="63"/>
    </row>
    <row r="5" spans="2:13" x14ac:dyDescent="0.3">
      <c r="B5" s="44" t="s">
        <v>16</v>
      </c>
      <c r="C5" s="44" t="s">
        <v>3</v>
      </c>
      <c r="D5" s="44" t="s">
        <v>4</v>
      </c>
      <c r="E5" s="44" t="s">
        <v>5</v>
      </c>
      <c r="F5" s="44" t="s">
        <v>6</v>
      </c>
      <c r="G5" s="44" t="s">
        <v>7</v>
      </c>
    </row>
    <row r="6" spans="2:13" x14ac:dyDescent="0.3">
      <c r="B6" s="4">
        <v>44783.007407407407</v>
      </c>
      <c r="C6" s="44">
        <v>0.61399999999999999</v>
      </c>
      <c r="D6" s="44">
        <v>16.93</v>
      </c>
      <c r="E6" s="44">
        <f t="shared" ref="E6:E24" si="0">D6/C6</f>
        <v>27.573289902280131</v>
      </c>
      <c r="F6" s="44" t="s">
        <v>8</v>
      </c>
      <c r="G6" s="3" t="s">
        <v>9</v>
      </c>
      <c r="H6">
        <f t="shared" ref="H6:H18" si="1">IF($F6="BUY",C6,-C6)</f>
        <v>0.61399999999999999</v>
      </c>
      <c r="I6">
        <f t="shared" ref="I6:I41" si="2">IF($F6="BUY",-D6,D6)</f>
        <v>-16.93</v>
      </c>
    </row>
    <row r="7" spans="2:13" x14ac:dyDescent="0.3">
      <c r="B7" s="4">
        <v>44783.745833333327</v>
      </c>
      <c r="C7" s="44">
        <v>0.61399999999999999</v>
      </c>
      <c r="D7" s="3">
        <v>18.251000000000001</v>
      </c>
      <c r="E7" s="44">
        <f t="shared" si="0"/>
        <v>29.724755700325737</v>
      </c>
      <c r="F7" s="44" t="s">
        <v>10</v>
      </c>
      <c r="G7" s="3" t="s">
        <v>9</v>
      </c>
      <c r="H7">
        <f t="shared" si="1"/>
        <v>-0.61399999999999999</v>
      </c>
      <c r="I7">
        <f t="shared" si="2"/>
        <v>18.251000000000001</v>
      </c>
      <c r="K7" t="s">
        <v>3</v>
      </c>
      <c r="L7" t="s">
        <v>11</v>
      </c>
      <c r="M7" t="s">
        <v>12</v>
      </c>
    </row>
    <row r="8" spans="2:13" x14ac:dyDescent="0.3">
      <c r="B8" s="4">
        <v>44784.178472222222</v>
      </c>
      <c r="C8" s="44">
        <v>0.621</v>
      </c>
      <c r="D8" s="44">
        <v>18.25</v>
      </c>
      <c r="E8" s="44">
        <f t="shared" si="0"/>
        <v>29.388083735909824</v>
      </c>
      <c r="F8" s="44" t="s">
        <v>8</v>
      </c>
      <c r="G8" s="3" t="s">
        <v>9</v>
      </c>
      <c r="H8">
        <f t="shared" si="1"/>
        <v>0.621</v>
      </c>
      <c r="I8">
        <f t="shared" si="2"/>
        <v>-18.25</v>
      </c>
      <c r="K8">
        <f>SUM($H$6:$H140)</f>
        <v>0.55315821999999937</v>
      </c>
      <c r="L8">
        <f>-SUM($I$6:$I45)</f>
        <v>-42.988999999999983</v>
      </c>
      <c r="M8">
        <f>L8/K8</f>
        <v>-77.715558488853389</v>
      </c>
    </row>
    <row r="9" spans="2:13" x14ac:dyDescent="0.3">
      <c r="B9" s="4">
        <v>44792.413888888892</v>
      </c>
      <c r="C9" s="44">
        <v>0.45100000000000001</v>
      </c>
      <c r="D9" s="44">
        <v>10</v>
      </c>
      <c r="E9" s="44">
        <f t="shared" si="0"/>
        <v>22.172949002217294</v>
      </c>
      <c r="F9" s="44" t="s">
        <v>8</v>
      </c>
      <c r="G9" s="3" t="s">
        <v>9</v>
      </c>
      <c r="H9">
        <f t="shared" si="1"/>
        <v>0.45100000000000001</v>
      </c>
      <c r="I9">
        <f t="shared" si="2"/>
        <v>-10</v>
      </c>
    </row>
    <row r="10" spans="2:13" x14ac:dyDescent="0.3">
      <c r="B10" s="4">
        <v>44802.640277777777</v>
      </c>
      <c r="C10" s="44">
        <v>0.27600000000000002</v>
      </c>
      <c r="D10" s="44">
        <v>5</v>
      </c>
      <c r="E10" s="44">
        <f t="shared" si="0"/>
        <v>18.115942028985504</v>
      </c>
      <c r="F10" s="44" t="s">
        <v>8</v>
      </c>
      <c r="G10" s="3" t="s">
        <v>9</v>
      </c>
      <c r="H10">
        <f t="shared" si="1"/>
        <v>0.27600000000000002</v>
      </c>
      <c r="I10">
        <f t="shared" si="2"/>
        <v>-5</v>
      </c>
    </row>
    <row r="11" spans="2:13" x14ac:dyDescent="0.3">
      <c r="B11" s="4">
        <v>44823.070833333331</v>
      </c>
      <c r="C11" s="44">
        <v>0.29599999999999999</v>
      </c>
      <c r="D11" s="44">
        <v>5</v>
      </c>
      <c r="E11" s="44">
        <f t="shared" si="0"/>
        <v>16.891891891891891</v>
      </c>
      <c r="F11" s="44" t="s">
        <v>8</v>
      </c>
      <c r="G11" s="3" t="s">
        <v>9</v>
      </c>
      <c r="H11">
        <f t="shared" si="1"/>
        <v>0.29599999999999999</v>
      </c>
      <c r="I11">
        <f t="shared" si="2"/>
        <v>-5</v>
      </c>
    </row>
    <row r="12" spans="2:13" x14ac:dyDescent="0.3">
      <c r="B12" s="4">
        <v>44845.279861111107</v>
      </c>
      <c r="C12" s="44">
        <v>0.39600000000000002</v>
      </c>
      <c r="D12" s="44">
        <v>6.34</v>
      </c>
      <c r="E12" s="44">
        <f t="shared" si="0"/>
        <v>16.01010101010101</v>
      </c>
      <c r="F12" s="44" t="s">
        <v>8</v>
      </c>
      <c r="G12" s="3" t="s">
        <v>9</v>
      </c>
      <c r="H12">
        <f t="shared" si="1"/>
        <v>0.39600000000000002</v>
      </c>
      <c r="I12">
        <f t="shared" si="2"/>
        <v>-6.34</v>
      </c>
    </row>
    <row r="13" spans="2:13" x14ac:dyDescent="0.3">
      <c r="B13" s="4">
        <v>44863.553472222222</v>
      </c>
      <c r="C13" s="44">
        <v>0.26900000000000002</v>
      </c>
      <c r="D13" s="44">
        <v>5</v>
      </c>
      <c r="E13" s="44">
        <f t="shared" si="0"/>
        <v>18.587360594795538</v>
      </c>
      <c r="F13" s="44" t="s">
        <v>10</v>
      </c>
      <c r="G13" s="3" t="s">
        <v>9</v>
      </c>
      <c r="H13">
        <f t="shared" si="1"/>
        <v>-0.26900000000000002</v>
      </c>
      <c r="I13">
        <f t="shared" si="2"/>
        <v>5</v>
      </c>
    </row>
    <row r="14" spans="2:13" x14ac:dyDescent="0.3">
      <c r="B14" s="4">
        <v>44873.869444444441</v>
      </c>
      <c r="C14" s="44">
        <v>0.309</v>
      </c>
      <c r="D14" s="44">
        <v>5</v>
      </c>
      <c r="E14" s="44">
        <f t="shared" si="0"/>
        <v>16.181229773462782</v>
      </c>
      <c r="F14" s="44" t="s">
        <v>8</v>
      </c>
      <c r="G14" s="3" t="s">
        <v>9</v>
      </c>
      <c r="H14">
        <f t="shared" si="1"/>
        <v>0.309</v>
      </c>
      <c r="I14">
        <f t="shared" si="2"/>
        <v>-5</v>
      </c>
    </row>
    <row r="15" spans="2:13" x14ac:dyDescent="0.3">
      <c r="B15" s="4">
        <v>44875.040972222218</v>
      </c>
      <c r="C15" s="44">
        <v>0.38800000000000001</v>
      </c>
      <c r="D15" s="44">
        <v>5</v>
      </c>
      <c r="E15" s="44">
        <f t="shared" si="0"/>
        <v>12.88659793814433</v>
      </c>
      <c r="F15" s="44" t="s">
        <v>8</v>
      </c>
      <c r="G15" s="3" t="s">
        <v>9</v>
      </c>
      <c r="H15">
        <f t="shared" si="1"/>
        <v>0.38800000000000001</v>
      </c>
      <c r="I15">
        <f t="shared" si="2"/>
        <v>-5</v>
      </c>
    </row>
    <row r="16" spans="2:13" x14ac:dyDescent="0.3">
      <c r="B16" s="4">
        <v>44886.324999999997</v>
      </c>
      <c r="C16" s="44">
        <v>0.41499999999999998</v>
      </c>
      <c r="D16" s="44">
        <v>5</v>
      </c>
      <c r="E16" s="44">
        <f t="shared" si="0"/>
        <v>12.048192771084338</v>
      </c>
      <c r="F16" s="44" t="s">
        <v>8</v>
      </c>
      <c r="G16" s="3" t="s">
        <v>9</v>
      </c>
      <c r="H16">
        <f t="shared" si="1"/>
        <v>0.41499999999999998</v>
      </c>
      <c r="I16">
        <f t="shared" si="2"/>
        <v>-5</v>
      </c>
    </row>
    <row r="17" spans="2:9" x14ac:dyDescent="0.3">
      <c r="B17" s="4">
        <v>44900.912499999999</v>
      </c>
      <c r="C17" s="44">
        <v>0.37</v>
      </c>
      <c r="D17" s="44">
        <v>5</v>
      </c>
      <c r="E17" s="44">
        <f t="shared" si="0"/>
        <v>13.513513513513514</v>
      </c>
      <c r="F17" s="44" t="s">
        <v>10</v>
      </c>
      <c r="G17" s="3" t="s">
        <v>9</v>
      </c>
      <c r="H17">
        <f t="shared" si="1"/>
        <v>-0.37</v>
      </c>
      <c r="I17">
        <f t="shared" si="2"/>
        <v>5</v>
      </c>
    </row>
    <row r="18" spans="2:9" x14ac:dyDescent="0.3">
      <c r="B18" s="4">
        <v>44913.994444444441</v>
      </c>
      <c r="C18" s="44">
        <v>0.41929</v>
      </c>
      <c r="D18" s="44">
        <v>5</v>
      </c>
      <c r="E18" s="44">
        <f t="shared" si="0"/>
        <v>11.924920699277349</v>
      </c>
      <c r="F18" s="44" t="s">
        <v>8</v>
      </c>
      <c r="G18" s="3" t="s">
        <v>9</v>
      </c>
      <c r="H18">
        <f t="shared" si="1"/>
        <v>0.41929</v>
      </c>
      <c r="I18">
        <f t="shared" si="2"/>
        <v>-5</v>
      </c>
    </row>
    <row r="19" spans="2:9" x14ac:dyDescent="0.3">
      <c r="B19" s="4">
        <v>44914.009722222218</v>
      </c>
      <c r="C19" s="44">
        <v>1.4</v>
      </c>
      <c r="D19" s="44">
        <v>0</v>
      </c>
      <c r="E19" s="44">
        <f t="shared" si="0"/>
        <v>0</v>
      </c>
      <c r="F19" s="44" t="s">
        <v>29</v>
      </c>
      <c r="G19" s="3"/>
      <c r="H19">
        <v>0</v>
      </c>
      <c r="I19">
        <f t="shared" si="2"/>
        <v>0</v>
      </c>
    </row>
    <row r="20" spans="2:9" x14ac:dyDescent="0.3">
      <c r="B20" s="4">
        <v>44924.995138888888</v>
      </c>
      <c r="C20" s="44">
        <v>0.45910000000000001</v>
      </c>
      <c r="D20" s="44">
        <v>5</v>
      </c>
      <c r="E20" s="44">
        <f t="shared" si="0"/>
        <v>10.890873448050533</v>
      </c>
      <c r="F20" s="44" t="s">
        <v>8</v>
      </c>
      <c r="G20" s="3" t="s">
        <v>9</v>
      </c>
      <c r="H20">
        <f>IF($F20="BUY",C20,-C20)</f>
        <v>0.45910000000000001</v>
      </c>
      <c r="I20">
        <f t="shared" si="2"/>
        <v>-5</v>
      </c>
    </row>
    <row r="21" spans="2:9" x14ac:dyDescent="0.3">
      <c r="B21" s="4">
        <v>44937.856944444437</v>
      </c>
      <c r="C21" s="44">
        <v>0.76819999999999999</v>
      </c>
      <c r="D21" s="44">
        <v>10</v>
      </c>
      <c r="E21" s="44">
        <f t="shared" si="0"/>
        <v>13.017443374121322</v>
      </c>
      <c r="F21" s="44" t="s">
        <v>10</v>
      </c>
      <c r="G21" s="3" t="s">
        <v>9</v>
      </c>
      <c r="H21">
        <f>IF($F21="BUY",C21,-C21)</f>
        <v>-0.76819999999999999</v>
      </c>
      <c r="I21">
        <f t="shared" si="2"/>
        <v>10</v>
      </c>
    </row>
    <row r="22" spans="2:9" x14ac:dyDescent="0.3">
      <c r="B22" s="4">
        <v>44937.875694444447</v>
      </c>
      <c r="C22" s="44">
        <v>0.72</v>
      </c>
      <c r="D22" s="44">
        <v>10.08</v>
      </c>
      <c r="E22" s="44">
        <f t="shared" si="0"/>
        <v>14</v>
      </c>
      <c r="F22" s="44" t="s">
        <v>10</v>
      </c>
      <c r="G22" s="3" t="s">
        <v>9</v>
      </c>
      <c r="H22">
        <f>IF($F22="BUY",C22,-C22)</f>
        <v>-0.72</v>
      </c>
      <c r="I22">
        <f t="shared" si="2"/>
        <v>10.08</v>
      </c>
    </row>
    <row r="23" spans="2:9" x14ac:dyDescent="0.3">
      <c r="B23" s="4">
        <v>44993.029166666667</v>
      </c>
      <c r="C23" s="44">
        <v>0.49019284000000002</v>
      </c>
      <c r="D23" s="44">
        <v>0</v>
      </c>
      <c r="E23" s="44">
        <f t="shared" si="0"/>
        <v>0</v>
      </c>
      <c r="F23" s="44" t="s">
        <v>29</v>
      </c>
      <c r="G23" s="3"/>
      <c r="H23">
        <v>0</v>
      </c>
      <c r="I23">
        <f t="shared" si="2"/>
        <v>0</v>
      </c>
    </row>
    <row r="24" spans="2:9" x14ac:dyDescent="0.3">
      <c r="B24" s="4">
        <v>44996.587500000001</v>
      </c>
      <c r="C24" s="44">
        <v>2.0990420200000002</v>
      </c>
      <c r="D24" s="44">
        <v>30</v>
      </c>
      <c r="E24" s="44">
        <f t="shared" si="0"/>
        <v>14.292234130691675</v>
      </c>
      <c r="F24" s="44" t="s">
        <v>8</v>
      </c>
      <c r="G24" s="3" t="s">
        <v>9</v>
      </c>
      <c r="H24">
        <f>IF($F24="BUY",C24,-C24)</f>
        <v>2.0990420200000002</v>
      </c>
      <c r="I24">
        <f t="shared" si="2"/>
        <v>-30</v>
      </c>
    </row>
    <row r="25" spans="2:9" x14ac:dyDescent="0.3">
      <c r="B25" s="4">
        <v>44996.589583333327</v>
      </c>
      <c r="C25" s="44">
        <v>2.0910420200000002</v>
      </c>
      <c r="D25" s="44">
        <v>8.0000000000000002E-3</v>
      </c>
      <c r="E25" s="44">
        <v>0</v>
      </c>
      <c r="F25" s="44" t="s">
        <v>29</v>
      </c>
      <c r="G25" s="3"/>
      <c r="H25">
        <v>-8.0000000000000002E-3</v>
      </c>
      <c r="I25">
        <f t="shared" si="2"/>
        <v>8.0000000000000002E-3</v>
      </c>
    </row>
    <row r="26" spans="2:9" x14ac:dyDescent="0.3">
      <c r="B26" s="4">
        <v>45156.324999999997</v>
      </c>
      <c r="C26" s="44">
        <v>3.7589261999999999</v>
      </c>
      <c r="D26" s="44">
        <v>40</v>
      </c>
      <c r="E26" s="44">
        <f>D26/C26</f>
        <v>10.641336879665262</v>
      </c>
      <c r="F26" s="44" t="s">
        <v>8</v>
      </c>
      <c r="G26" s="3" t="s">
        <v>9</v>
      </c>
      <c r="H26">
        <f t="shared" ref="H26:H41" si="3">IF($F26="BUY",C26,-C26)</f>
        <v>3.7589261999999999</v>
      </c>
      <c r="I26">
        <f t="shared" si="2"/>
        <v>-40</v>
      </c>
    </row>
    <row r="27" spans="2:9" x14ac:dyDescent="0.3">
      <c r="B27" s="4">
        <v>45248.525000000001</v>
      </c>
      <c r="C27" s="44">
        <v>5.2</v>
      </c>
      <c r="D27" s="44">
        <v>109.279</v>
      </c>
      <c r="E27" s="44">
        <f>D27/C27</f>
        <v>21.015192307692306</v>
      </c>
      <c r="F27" s="44" t="s">
        <v>10</v>
      </c>
      <c r="G27" s="44" t="s">
        <v>30</v>
      </c>
      <c r="H27">
        <f t="shared" si="3"/>
        <v>-5.2</v>
      </c>
      <c r="I27">
        <f t="shared" si="2"/>
        <v>109.279</v>
      </c>
    </row>
    <row r="28" spans="2:9" x14ac:dyDescent="0.3">
      <c r="B28" s="4">
        <v>45248.530555555553</v>
      </c>
      <c r="C28" s="44">
        <v>2</v>
      </c>
      <c r="D28" s="44">
        <v>41.890999999999998</v>
      </c>
      <c r="E28" s="44">
        <f>D28/C28</f>
        <v>20.945499999999999</v>
      </c>
      <c r="F28" s="44" t="s">
        <v>10</v>
      </c>
      <c r="G28" s="44" t="s">
        <v>30</v>
      </c>
      <c r="H28">
        <f t="shared" si="3"/>
        <v>-2</v>
      </c>
      <c r="I28">
        <f t="shared" si="2"/>
        <v>41.890999999999998</v>
      </c>
    </row>
    <row r="29" spans="2:9" x14ac:dyDescent="0.3">
      <c r="B29" s="44"/>
      <c r="C29" s="44"/>
      <c r="D29" s="44"/>
      <c r="E29" s="44"/>
      <c r="F29" s="44"/>
      <c r="G29" s="44"/>
      <c r="H29">
        <f t="shared" si="3"/>
        <v>0</v>
      </c>
      <c r="I29">
        <f t="shared" si="2"/>
        <v>0</v>
      </c>
    </row>
    <row r="30" spans="2:9" x14ac:dyDescent="0.3">
      <c r="B30" s="44"/>
      <c r="C30" s="44"/>
      <c r="D30" s="44"/>
      <c r="E30" s="44"/>
      <c r="F30" s="44"/>
      <c r="G30" s="44"/>
      <c r="H30">
        <f t="shared" si="3"/>
        <v>0</v>
      </c>
      <c r="I30">
        <f t="shared" si="2"/>
        <v>0</v>
      </c>
    </row>
    <row r="31" spans="2:9" x14ac:dyDescent="0.3">
      <c r="B31" s="44"/>
      <c r="C31" s="44"/>
      <c r="D31" s="44"/>
      <c r="E31" s="44"/>
      <c r="F31" s="44"/>
      <c r="G31" s="44"/>
      <c r="H31">
        <f t="shared" si="3"/>
        <v>0</v>
      </c>
      <c r="I31">
        <f t="shared" si="2"/>
        <v>0</v>
      </c>
    </row>
    <row r="32" spans="2:9" x14ac:dyDescent="0.3">
      <c r="B32" s="44"/>
      <c r="C32" s="44"/>
      <c r="D32" s="44"/>
      <c r="E32" s="44"/>
      <c r="F32" s="44"/>
      <c r="G32" s="44"/>
      <c r="H32">
        <f t="shared" si="3"/>
        <v>0</v>
      </c>
      <c r="I32">
        <f t="shared" si="2"/>
        <v>0</v>
      </c>
    </row>
    <row r="33" spans="2:9" x14ac:dyDescent="0.3">
      <c r="B33" s="44"/>
      <c r="C33" s="44"/>
      <c r="D33" s="44"/>
      <c r="E33" s="44"/>
      <c r="F33" s="44"/>
      <c r="G33" s="44"/>
      <c r="H33">
        <f t="shared" si="3"/>
        <v>0</v>
      </c>
      <c r="I33">
        <f t="shared" si="2"/>
        <v>0</v>
      </c>
    </row>
    <row r="34" spans="2:9" x14ac:dyDescent="0.3">
      <c r="B34" s="44"/>
      <c r="C34" s="44"/>
      <c r="D34" s="44"/>
      <c r="E34" s="44"/>
      <c r="F34" s="44"/>
      <c r="G34" s="44"/>
      <c r="H34">
        <f t="shared" si="3"/>
        <v>0</v>
      </c>
      <c r="I34">
        <f t="shared" si="2"/>
        <v>0</v>
      </c>
    </row>
    <row r="35" spans="2:9" x14ac:dyDescent="0.3">
      <c r="B35" s="44"/>
      <c r="C35" s="44"/>
      <c r="D35" s="44"/>
      <c r="E35" s="44"/>
      <c r="F35" s="44"/>
      <c r="G35" s="44"/>
      <c r="H35">
        <f t="shared" si="3"/>
        <v>0</v>
      </c>
      <c r="I35">
        <f t="shared" si="2"/>
        <v>0</v>
      </c>
    </row>
    <row r="36" spans="2:9" x14ac:dyDescent="0.3">
      <c r="B36" s="44"/>
      <c r="C36" s="44"/>
      <c r="D36" s="44"/>
      <c r="E36" s="44"/>
      <c r="F36" s="44"/>
      <c r="G36" s="44"/>
      <c r="H36">
        <f t="shared" si="3"/>
        <v>0</v>
      </c>
      <c r="I36">
        <f t="shared" si="2"/>
        <v>0</v>
      </c>
    </row>
    <row r="37" spans="2:9" x14ac:dyDescent="0.3">
      <c r="B37" s="44"/>
      <c r="C37" s="44"/>
      <c r="D37" s="44"/>
      <c r="E37" s="44"/>
      <c r="F37" s="44"/>
      <c r="G37" s="44"/>
      <c r="H37">
        <f t="shared" si="3"/>
        <v>0</v>
      </c>
      <c r="I37">
        <f t="shared" si="2"/>
        <v>0</v>
      </c>
    </row>
    <row r="38" spans="2:9" x14ac:dyDescent="0.3">
      <c r="H38">
        <f t="shared" si="3"/>
        <v>0</v>
      </c>
      <c r="I38">
        <f t="shared" si="2"/>
        <v>0</v>
      </c>
    </row>
    <row r="39" spans="2:9" x14ac:dyDescent="0.3">
      <c r="H39">
        <f t="shared" si="3"/>
        <v>0</v>
      </c>
      <c r="I39">
        <f t="shared" si="2"/>
        <v>0</v>
      </c>
    </row>
    <row r="40" spans="2:9" x14ac:dyDescent="0.3">
      <c r="H40">
        <f t="shared" si="3"/>
        <v>0</v>
      </c>
      <c r="I40">
        <f t="shared" si="2"/>
        <v>0</v>
      </c>
    </row>
    <row r="41" spans="2:9" x14ac:dyDescent="0.3">
      <c r="H41">
        <f t="shared" si="3"/>
        <v>0</v>
      </c>
      <c r="I41">
        <f t="shared" si="2"/>
        <v>0</v>
      </c>
    </row>
  </sheetData>
  <mergeCells count="1">
    <mergeCell ref="B4:F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46"/>
  <sheetViews>
    <sheetView topLeftCell="A19" zoomScaleNormal="100" workbookViewId="0">
      <selection activeCell="P42" sqref="P42"/>
    </sheetView>
  </sheetViews>
  <sheetFormatPr defaultRowHeight="14.4" x14ac:dyDescent="0.3"/>
  <cols>
    <col min="2" max="2" width="16.21875" style="46" bestFit="1" customWidth="1"/>
    <col min="3" max="3" width="10" style="46" bestFit="1" customWidth="1"/>
    <col min="4" max="4" width="14.6640625" style="46" bestFit="1" customWidth="1"/>
    <col min="5" max="5" width="12" style="46" bestFit="1" customWidth="1"/>
    <col min="7" max="7" width="10.33203125" style="46" bestFit="1" customWidth="1"/>
    <col min="11" max="11" width="7.109375" style="46" customWidth="1"/>
  </cols>
  <sheetData>
    <row r="3" spans="2:17" x14ac:dyDescent="0.3">
      <c r="B3" s="64" t="s">
        <v>31</v>
      </c>
      <c r="C3" s="65"/>
      <c r="D3" s="65"/>
      <c r="E3" s="65"/>
      <c r="F3" s="65"/>
    </row>
    <row r="4" spans="2:17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7" t="s">
        <v>7</v>
      </c>
    </row>
    <row r="5" spans="2:17" x14ac:dyDescent="0.3">
      <c r="B5" s="4">
        <v>44783.906145833331</v>
      </c>
      <c r="C5" s="44">
        <v>0.24</v>
      </c>
      <c r="D5" s="44">
        <v>10</v>
      </c>
      <c r="E5" s="44">
        <f t="shared" ref="E5:E46" si="0">D5/C5</f>
        <v>41.666666666666671</v>
      </c>
      <c r="F5" s="44" t="s">
        <v>8</v>
      </c>
      <c r="I5">
        <f t="shared" ref="I5:I46" si="1">IF(F5="BUY",C5,-C5)</f>
        <v>0.24</v>
      </c>
      <c r="J5">
        <f t="shared" ref="J5:J46" si="2">IF(F5="BUY",-D5,D5)</f>
        <v>-10</v>
      </c>
    </row>
    <row r="6" spans="2:17" x14ac:dyDescent="0.3">
      <c r="B6" s="4">
        <v>44785.969444444447</v>
      </c>
      <c r="C6" s="44">
        <v>0.24099999999999999</v>
      </c>
      <c r="D6" s="3">
        <v>10.82</v>
      </c>
      <c r="E6" s="44">
        <f t="shared" si="0"/>
        <v>44.896265560165979</v>
      </c>
      <c r="F6" s="44" t="s">
        <v>10</v>
      </c>
      <c r="I6">
        <f t="shared" si="1"/>
        <v>-0.24099999999999999</v>
      </c>
      <c r="J6">
        <f t="shared" si="2"/>
        <v>10.82</v>
      </c>
    </row>
    <row r="7" spans="2:17" x14ac:dyDescent="0.3">
      <c r="B7" s="4">
        <v>44792.401388888888</v>
      </c>
      <c r="C7" s="44">
        <v>0.28000000000000003</v>
      </c>
      <c r="D7" s="44">
        <v>10.08</v>
      </c>
      <c r="E7" s="44">
        <f t="shared" si="0"/>
        <v>36</v>
      </c>
      <c r="F7" s="44" t="s">
        <v>8</v>
      </c>
      <c r="I7">
        <f t="shared" si="1"/>
        <v>0.28000000000000003</v>
      </c>
      <c r="J7">
        <f t="shared" si="2"/>
        <v>-10.08</v>
      </c>
      <c r="P7" s="43"/>
      <c r="Q7" s="43"/>
    </row>
    <row r="8" spans="2:17" x14ac:dyDescent="0.3">
      <c r="B8" s="4">
        <v>44792.408333333333</v>
      </c>
      <c r="C8" s="44">
        <v>0.29649999999999999</v>
      </c>
      <c r="D8" s="44">
        <v>10.82</v>
      </c>
      <c r="E8" s="44">
        <f t="shared" si="0"/>
        <v>36.492411467116362</v>
      </c>
      <c r="F8" s="44" t="s">
        <v>8</v>
      </c>
      <c r="I8">
        <f t="shared" si="1"/>
        <v>0.29649999999999999</v>
      </c>
      <c r="J8">
        <f t="shared" si="2"/>
        <v>-10.82</v>
      </c>
    </row>
    <row r="9" spans="2:17" x14ac:dyDescent="0.3">
      <c r="B9" s="4">
        <v>44800.963888888888</v>
      </c>
      <c r="C9" s="44">
        <v>0.159</v>
      </c>
      <c r="D9" s="44">
        <v>5</v>
      </c>
      <c r="E9" s="44">
        <f t="shared" si="0"/>
        <v>31.446540880503143</v>
      </c>
      <c r="F9" s="44" t="s">
        <v>8</v>
      </c>
      <c r="I9">
        <f t="shared" si="1"/>
        <v>0.159</v>
      </c>
      <c r="J9">
        <f t="shared" si="2"/>
        <v>-5</v>
      </c>
    </row>
    <row r="10" spans="2:17" x14ac:dyDescent="0.3">
      <c r="B10" s="4">
        <v>44802.121527777781</v>
      </c>
      <c r="C10" s="44">
        <v>0.16400000000000001</v>
      </c>
      <c r="D10" s="44">
        <v>5</v>
      </c>
      <c r="E10" s="44">
        <f t="shared" si="0"/>
        <v>30.487804878048781</v>
      </c>
      <c r="F10" s="44" t="s">
        <v>8</v>
      </c>
      <c r="I10">
        <f t="shared" si="1"/>
        <v>0.16400000000000001</v>
      </c>
      <c r="J10">
        <f t="shared" si="2"/>
        <v>-5</v>
      </c>
      <c r="L10" t="s">
        <v>32</v>
      </c>
      <c r="M10">
        <v>0</v>
      </c>
    </row>
    <row r="11" spans="2:17" x14ac:dyDescent="0.3">
      <c r="B11" s="4">
        <v>44816.662499999999</v>
      </c>
      <c r="C11" s="44">
        <v>0.22500000000000001</v>
      </c>
      <c r="D11" s="44">
        <v>8.4830000000000005</v>
      </c>
      <c r="E11" s="44">
        <f t="shared" si="0"/>
        <v>37.702222222222225</v>
      </c>
      <c r="F11" s="44" t="s">
        <v>10</v>
      </c>
      <c r="I11">
        <f t="shared" si="1"/>
        <v>-0.22500000000000001</v>
      </c>
      <c r="J11">
        <f t="shared" si="2"/>
        <v>8.4830000000000005</v>
      </c>
    </row>
    <row r="12" spans="2:17" x14ac:dyDescent="0.3">
      <c r="B12" s="4">
        <v>44817.78402777778</v>
      </c>
      <c r="C12" s="44">
        <v>0.24299999999999999</v>
      </c>
      <c r="D12" s="44">
        <v>8.48</v>
      </c>
      <c r="E12" s="44">
        <f t="shared" si="0"/>
        <v>34.897119341563787</v>
      </c>
      <c r="F12" s="44" t="s">
        <v>8</v>
      </c>
      <c r="I12">
        <f t="shared" si="1"/>
        <v>0.24299999999999999</v>
      </c>
      <c r="J12">
        <f t="shared" si="2"/>
        <v>-8.48</v>
      </c>
    </row>
    <row r="13" spans="2:17" x14ac:dyDescent="0.3">
      <c r="B13" s="4">
        <v>44834.054166666669</v>
      </c>
      <c r="C13" s="44">
        <v>0.15</v>
      </c>
      <c r="D13" s="44">
        <v>5.09</v>
      </c>
      <c r="E13" s="44">
        <f t="shared" si="0"/>
        <v>33.933333333333337</v>
      </c>
      <c r="F13" s="44" t="s">
        <v>10</v>
      </c>
      <c r="I13">
        <f t="shared" si="1"/>
        <v>-0.15</v>
      </c>
      <c r="J13">
        <f t="shared" si="2"/>
        <v>5.09</v>
      </c>
    </row>
    <row r="14" spans="2:17" x14ac:dyDescent="0.3">
      <c r="B14" s="4">
        <v>44845.273611111108</v>
      </c>
      <c r="C14" s="44">
        <v>0.16139999999999999</v>
      </c>
      <c r="D14" s="44">
        <v>5</v>
      </c>
      <c r="E14" s="44">
        <f t="shared" si="0"/>
        <v>30.978934324659235</v>
      </c>
      <c r="F14" s="44" t="s">
        <v>8</v>
      </c>
      <c r="I14">
        <f t="shared" si="1"/>
        <v>0.16139999999999999</v>
      </c>
      <c r="J14">
        <f t="shared" si="2"/>
        <v>-5</v>
      </c>
      <c r="L14" t="s">
        <v>3</v>
      </c>
      <c r="M14" t="s">
        <v>11</v>
      </c>
      <c r="N14" t="s">
        <v>12</v>
      </c>
    </row>
    <row r="15" spans="2:17" x14ac:dyDescent="0.3">
      <c r="B15" s="4">
        <v>44854.686805555553</v>
      </c>
      <c r="C15" s="44">
        <v>0.17100000000000001</v>
      </c>
      <c r="D15" s="44">
        <v>5</v>
      </c>
      <c r="E15" s="44">
        <f t="shared" si="0"/>
        <v>29.239766081871341</v>
      </c>
      <c r="F15" s="44" t="s">
        <v>8</v>
      </c>
      <c r="I15">
        <f t="shared" si="1"/>
        <v>0.17100000000000001</v>
      </c>
      <c r="J15">
        <f t="shared" si="2"/>
        <v>-5</v>
      </c>
      <c r="L15">
        <f>SUM($I$5:$I49)-M10</f>
        <v>6.0643870000000044E-2</v>
      </c>
      <c r="M15">
        <f>-SUM($J$5:$J49)</f>
        <v>-17.436176980000006</v>
      </c>
      <c r="N15">
        <f>M15/L15</f>
        <v>-287.517550908278</v>
      </c>
    </row>
    <row r="16" spans="2:17" x14ac:dyDescent="0.3">
      <c r="B16" s="4">
        <v>44859.847222222219</v>
      </c>
      <c r="C16" s="44">
        <v>0.16</v>
      </c>
      <c r="D16" s="44">
        <v>5</v>
      </c>
      <c r="E16" s="44">
        <f t="shared" si="0"/>
        <v>31.25</v>
      </c>
      <c r="F16" s="44" t="s">
        <v>10</v>
      </c>
      <c r="I16">
        <f t="shared" si="1"/>
        <v>-0.16</v>
      </c>
      <c r="J16">
        <f t="shared" si="2"/>
        <v>5</v>
      </c>
    </row>
    <row r="17" spans="2:10" x14ac:dyDescent="0.3">
      <c r="B17" s="4">
        <v>44870.730555555558</v>
      </c>
      <c r="C17" s="44">
        <v>0.13400000000000001</v>
      </c>
      <c r="D17" s="44">
        <v>5</v>
      </c>
      <c r="E17" s="44">
        <f t="shared" si="0"/>
        <v>37.31343283582089</v>
      </c>
      <c r="F17" s="44" t="s">
        <v>10</v>
      </c>
      <c r="I17">
        <f t="shared" si="1"/>
        <v>-0.13400000000000001</v>
      </c>
      <c r="J17">
        <f t="shared" si="2"/>
        <v>5</v>
      </c>
    </row>
    <row r="18" spans="2:10" x14ac:dyDescent="0.3">
      <c r="B18" s="4">
        <v>44872.229861111111</v>
      </c>
      <c r="C18" s="44">
        <v>0.15290000000000001</v>
      </c>
      <c r="D18" s="44">
        <v>5</v>
      </c>
      <c r="E18" s="44">
        <f t="shared" si="0"/>
        <v>32.701111837802486</v>
      </c>
      <c r="F18" s="44" t="s">
        <v>8</v>
      </c>
      <c r="I18">
        <f t="shared" si="1"/>
        <v>0.15290000000000001</v>
      </c>
      <c r="J18">
        <f t="shared" si="2"/>
        <v>-5</v>
      </c>
    </row>
    <row r="19" spans="2:10" x14ac:dyDescent="0.3">
      <c r="B19" s="4">
        <v>44873.238194444442</v>
      </c>
      <c r="C19" s="44">
        <v>0.36899999999999999</v>
      </c>
      <c r="D19" s="44">
        <v>10</v>
      </c>
      <c r="E19" s="44">
        <f t="shared" si="0"/>
        <v>27.100271002710027</v>
      </c>
      <c r="F19" s="44" t="s">
        <v>8</v>
      </c>
      <c r="I19">
        <f t="shared" si="1"/>
        <v>0.36899999999999999</v>
      </c>
      <c r="J19">
        <f t="shared" si="2"/>
        <v>-10</v>
      </c>
    </row>
    <row r="20" spans="2:10" x14ac:dyDescent="0.3">
      <c r="B20" s="4">
        <v>44873.850694444453</v>
      </c>
      <c r="C20" s="44">
        <v>0.40899999999999997</v>
      </c>
      <c r="D20" s="44">
        <v>10</v>
      </c>
      <c r="E20" s="44">
        <f t="shared" si="0"/>
        <v>24.449877750611247</v>
      </c>
      <c r="F20" s="44" t="s">
        <v>8</v>
      </c>
      <c r="I20">
        <f t="shared" si="1"/>
        <v>0.40899999999999997</v>
      </c>
      <c r="J20">
        <f t="shared" si="2"/>
        <v>-10</v>
      </c>
    </row>
    <row r="21" spans="2:10" x14ac:dyDescent="0.3">
      <c r="B21" s="4">
        <v>44874.395833333343</v>
      </c>
      <c r="C21" s="44">
        <v>0.246</v>
      </c>
      <c r="D21" s="44">
        <v>5</v>
      </c>
      <c r="E21" s="44">
        <f t="shared" si="0"/>
        <v>20.325203252032519</v>
      </c>
      <c r="F21" s="44" t="s">
        <v>8</v>
      </c>
      <c r="I21">
        <f t="shared" si="1"/>
        <v>0.246</v>
      </c>
      <c r="J21">
        <f t="shared" si="2"/>
        <v>-5</v>
      </c>
    </row>
    <row r="22" spans="2:10" x14ac:dyDescent="0.3">
      <c r="B22" s="4">
        <v>44874.888888888891</v>
      </c>
      <c r="C22" s="44">
        <v>0.34499999999999997</v>
      </c>
      <c r="D22" s="44">
        <v>5</v>
      </c>
      <c r="E22" s="44">
        <f t="shared" si="0"/>
        <v>14.492753623188406</v>
      </c>
      <c r="F22" s="44" t="s">
        <v>8</v>
      </c>
      <c r="I22">
        <f t="shared" si="1"/>
        <v>0.34499999999999997</v>
      </c>
      <c r="J22">
        <f t="shared" si="2"/>
        <v>-5</v>
      </c>
    </row>
    <row r="23" spans="2:10" x14ac:dyDescent="0.3">
      <c r="B23" s="4">
        <v>44875.043055555558</v>
      </c>
      <c r="C23" s="44">
        <v>0.70299999999999996</v>
      </c>
      <c r="D23" s="44">
        <v>10</v>
      </c>
      <c r="E23" s="44">
        <f t="shared" si="0"/>
        <v>14.224751066856332</v>
      </c>
      <c r="F23" s="44" t="s">
        <v>8</v>
      </c>
      <c r="I23">
        <f t="shared" si="1"/>
        <v>0.70299999999999996</v>
      </c>
      <c r="J23">
        <f t="shared" si="2"/>
        <v>-10</v>
      </c>
    </row>
    <row r="24" spans="2:10" x14ac:dyDescent="0.3">
      <c r="B24" s="4">
        <v>44875.71875</v>
      </c>
      <c r="C24" s="44">
        <v>0.58099999999999996</v>
      </c>
      <c r="D24" s="44">
        <v>10</v>
      </c>
      <c r="E24" s="44">
        <f t="shared" si="0"/>
        <v>17.211703958691913</v>
      </c>
      <c r="F24" s="44" t="s">
        <v>8</v>
      </c>
      <c r="I24">
        <f t="shared" si="1"/>
        <v>0.58099999999999996</v>
      </c>
      <c r="J24">
        <f t="shared" si="2"/>
        <v>-10</v>
      </c>
    </row>
    <row r="25" spans="2:10" x14ac:dyDescent="0.3">
      <c r="B25" s="4">
        <v>44876.73333333333</v>
      </c>
      <c r="C25" s="44">
        <v>0.30399999999999999</v>
      </c>
      <c r="D25" s="44">
        <v>5</v>
      </c>
      <c r="E25" s="44">
        <f t="shared" si="0"/>
        <v>16.447368421052634</v>
      </c>
      <c r="F25" s="44" t="s">
        <v>10</v>
      </c>
      <c r="I25">
        <f t="shared" si="1"/>
        <v>-0.30399999999999999</v>
      </c>
      <c r="J25">
        <f t="shared" si="2"/>
        <v>5</v>
      </c>
    </row>
    <row r="26" spans="2:10" x14ac:dyDescent="0.3">
      <c r="B26" s="4">
        <v>44878.359027777777</v>
      </c>
      <c r="C26" s="44">
        <v>0.35199999999999998</v>
      </c>
      <c r="D26" s="44">
        <v>5</v>
      </c>
      <c r="E26" s="44">
        <f t="shared" si="0"/>
        <v>14.204545454545455</v>
      </c>
      <c r="F26" s="44" t="s">
        <v>8</v>
      </c>
      <c r="I26">
        <f t="shared" si="1"/>
        <v>0.35199999999999998</v>
      </c>
      <c r="J26">
        <f t="shared" si="2"/>
        <v>-5</v>
      </c>
    </row>
    <row r="27" spans="2:10" x14ac:dyDescent="0.3">
      <c r="B27" s="4">
        <v>44884.412499999999</v>
      </c>
      <c r="C27" s="44">
        <v>0.38800000000000001</v>
      </c>
      <c r="D27" s="44">
        <v>5</v>
      </c>
      <c r="E27" s="44">
        <f t="shared" si="0"/>
        <v>12.88659793814433</v>
      </c>
      <c r="F27" s="44" t="s">
        <v>8</v>
      </c>
      <c r="I27">
        <f t="shared" si="1"/>
        <v>0.38800000000000001</v>
      </c>
      <c r="J27">
        <f t="shared" si="2"/>
        <v>-5</v>
      </c>
    </row>
    <row r="28" spans="2:10" x14ac:dyDescent="0.3">
      <c r="B28" s="4">
        <v>44886.65347222222</v>
      </c>
      <c r="C28" s="44">
        <v>0.41399999999999998</v>
      </c>
      <c r="D28" s="44">
        <v>5</v>
      </c>
      <c r="E28" s="44">
        <f t="shared" si="0"/>
        <v>12.077294685990339</v>
      </c>
      <c r="F28" s="44" t="s">
        <v>8</v>
      </c>
      <c r="I28">
        <f t="shared" si="1"/>
        <v>0.41399999999999998</v>
      </c>
      <c r="J28">
        <f t="shared" si="2"/>
        <v>-5</v>
      </c>
    </row>
    <row r="29" spans="2:10" x14ac:dyDescent="0.3">
      <c r="B29" s="4">
        <v>44909.534722222219</v>
      </c>
      <c r="C29" s="44">
        <v>0.35830000000000001</v>
      </c>
      <c r="D29" s="44">
        <v>5</v>
      </c>
      <c r="E29" s="44">
        <f t="shared" si="0"/>
        <v>13.954786491766676</v>
      </c>
      <c r="F29" s="44" t="s">
        <v>10</v>
      </c>
      <c r="I29">
        <f t="shared" si="1"/>
        <v>-0.35830000000000001</v>
      </c>
      <c r="J29">
        <f t="shared" si="2"/>
        <v>5</v>
      </c>
    </row>
    <row r="30" spans="2:10" x14ac:dyDescent="0.3">
      <c r="B30" s="4">
        <v>44910.304861111108</v>
      </c>
      <c r="C30" s="44">
        <v>0.35099999999999998</v>
      </c>
      <c r="D30" s="44">
        <v>5</v>
      </c>
      <c r="E30" s="44">
        <f t="shared" si="0"/>
        <v>14.245014245014247</v>
      </c>
      <c r="F30" s="44" t="s">
        <v>10</v>
      </c>
      <c r="I30">
        <f t="shared" si="1"/>
        <v>-0.35099999999999998</v>
      </c>
      <c r="J30">
        <f t="shared" si="2"/>
        <v>5</v>
      </c>
    </row>
    <row r="31" spans="2:10" x14ac:dyDescent="0.3">
      <c r="B31" s="4">
        <v>44912.028587962966</v>
      </c>
      <c r="C31" s="44">
        <v>0.40400000000000003</v>
      </c>
      <c r="D31" s="44">
        <v>5</v>
      </c>
      <c r="E31" s="44">
        <f t="shared" si="0"/>
        <v>12.376237623762375</v>
      </c>
      <c r="F31" s="44" t="s">
        <v>8</v>
      </c>
      <c r="G31" t="s">
        <v>33</v>
      </c>
      <c r="I31">
        <f t="shared" si="1"/>
        <v>0.40400000000000003</v>
      </c>
      <c r="J31">
        <f t="shared" si="2"/>
        <v>-5</v>
      </c>
    </row>
    <row r="32" spans="2:10" x14ac:dyDescent="0.3">
      <c r="B32" s="4">
        <v>44915.246527777781</v>
      </c>
      <c r="C32" s="44">
        <v>0.40799999999999997</v>
      </c>
      <c r="D32" s="44">
        <v>5</v>
      </c>
      <c r="E32" s="44">
        <f t="shared" si="0"/>
        <v>12.254901960784315</v>
      </c>
      <c r="F32" s="44" t="s">
        <v>8</v>
      </c>
      <c r="I32">
        <f t="shared" si="1"/>
        <v>0.40799999999999997</v>
      </c>
      <c r="J32">
        <f t="shared" si="2"/>
        <v>-5</v>
      </c>
    </row>
    <row r="33" spans="2:11" x14ac:dyDescent="0.3">
      <c r="B33" s="4">
        <v>44919.501388888893</v>
      </c>
      <c r="C33" s="44">
        <v>0.442</v>
      </c>
      <c r="D33" s="44">
        <v>5</v>
      </c>
      <c r="E33" s="44">
        <f t="shared" si="0"/>
        <v>11.312217194570136</v>
      </c>
      <c r="F33" s="44" t="s">
        <v>8</v>
      </c>
      <c r="I33">
        <f t="shared" si="1"/>
        <v>0.442</v>
      </c>
      <c r="J33">
        <f t="shared" si="2"/>
        <v>-5</v>
      </c>
    </row>
    <row r="34" spans="2:11" x14ac:dyDescent="0.3">
      <c r="B34" s="4">
        <v>44922.70416666667</v>
      </c>
      <c r="C34" s="44">
        <v>0.45700000000000002</v>
      </c>
      <c r="D34" s="44">
        <v>5</v>
      </c>
      <c r="E34" s="44">
        <f t="shared" si="0"/>
        <v>10.940919037199125</v>
      </c>
      <c r="F34" s="44" t="s">
        <v>8</v>
      </c>
      <c r="I34">
        <f t="shared" si="1"/>
        <v>0.45700000000000002</v>
      </c>
      <c r="J34">
        <f t="shared" si="2"/>
        <v>-5</v>
      </c>
    </row>
    <row r="35" spans="2:11" x14ac:dyDescent="0.3">
      <c r="B35" s="4">
        <v>44923.702777777777</v>
      </c>
      <c r="C35" s="44">
        <v>0.48799999999999999</v>
      </c>
      <c r="D35" s="44">
        <v>5</v>
      </c>
      <c r="E35" s="44">
        <f t="shared" si="0"/>
        <v>10.245901639344263</v>
      </c>
      <c r="F35" s="44" t="s">
        <v>8</v>
      </c>
      <c r="I35">
        <f t="shared" si="1"/>
        <v>0.48799999999999999</v>
      </c>
      <c r="J35">
        <f t="shared" si="2"/>
        <v>-5</v>
      </c>
    </row>
    <row r="36" spans="2:11" x14ac:dyDescent="0.3">
      <c r="B36" s="4">
        <v>44929.352083333331</v>
      </c>
      <c r="C36" s="18">
        <v>0.84</v>
      </c>
      <c r="D36" s="44">
        <v>10.08</v>
      </c>
      <c r="E36" s="44">
        <f t="shared" si="0"/>
        <v>12</v>
      </c>
      <c r="F36" s="44" t="s">
        <v>10</v>
      </c>
      <c r="I36">
        <f t="shared" si="1"/>
        <v>-0.84</v>
      </c>
      <c r="J36">
        <f t="shared" si="2"/>
        <v>10.08</v>
      </c>
    </row>
    <row r="37" spans="2:11" x14ac:dyDescent="0.3">
      <c r="B37" s="4">
        <v>44929.739583333343</v>
      </c>
      <c r="C37" s="44">
        <v>0.38740000000000002</v>
      </c>
      <c r="D37" s="44">
        <v>5</v>
      </c>
      <c r="E37" s="44">
        <f t="shared" si="0"/>
        <v>12.906556530717603</v>
      </c>
      <c r="F37" s="44" t="s">
        <v>10</v>
      </c>
      <c r="I37">
        <f t="shared" si="1"/>
        <v>-0.38740000000000002</v>
      </c>
      <c r="J37">
        <f t="shared" si="2"/>
        <v>5</v>
      </c>
    </row>
    <row r="38" spans="2:11" x14ac:dyDescent="0.3">
      <c r="B38" s="4">
        <v>44929.741666666669</v>
      </c>
      <c r="C38" s="44">
        <v>0.35709999999999997</v>
      </c>
      <c r="D38" s="44">
        <v>5</v>
      </c>
      <c r="E38" s="44">
        <f t="shared" si="0"/>
        <v>14.001680201624197</v>
      </c>
      <c r="F38" s="44" t="s">
        <v>10</v>
      </c>
      <c r="I38">
        <f t="shared" si="1"/>
        <v>-0.35709999999999997</v>
      </c>
      <c r="J38">
        <f t="shared" si="2"/>
        <v>5</v>
      </c>
    </row>
    <row r="39" spans="2:11" x14ac:dyDescent="0.3">
      <c r="B39" s="4">
        <v>44935.151388888888</v>
      </c>
      <c r="C39" s="44">
        <v>0.67</v>
      </c>
      <c r="D39" s="44">
        <v>10.050000000000001</v>
      </c>
      <c r="E39" s="44">
        <f t="shared" si="0"/>
        <v>15</v>
      </c>
      <c r="F39" s="44" t="s">
        <v>10</v>
      </c>
      <c r="I39">
        <f t="shared" si="1"/>
        <v>-0.67</v>
      </c>
      <c r="J39">
        <f t="shared" si="2"/>
        <v>10.050000000000001</v>
      </c>
    </row>
    <row r="40" spans="2:11" x14ac:dyDescent="0.3">
      <c r="B40" s="4">
        <v>44940.011111111111</v>
      </c>
      <c r="C40" s="44">
        <v>0.2752</v>
      </c>
      <c r="D40" s="44">
        <v>5</v>
      </c>
      <c r="E40" s="44">
        <f t="shared" si="0"/>
        <v>18.168604651162791</v>
      </c>
      <c r="F40" s="44" t="s">
        <v>10</v>
      </c>
      <c r="I40">
        <f t="shared" si="1"/>
        <v>-0.2752</v>
      </c>
      <c r="J40">
        <f t="shared" si="2"/>
        <v>5</v>
      </c>
    </row>
    <row r="41" spans="2:11" x14ac:dyDescent="0.3">
      <c r="B41" s="4">
        <v>44940.21597222222</v>
      </c>
      <c r="C41" s="44">
        <v>0.22750000000000001</v>
      </c>
      <c r="D41" s="44">
        <v>5</v>
      </c>
      <c r="E41" s="44">
        <f t="shared" si="0"/>
        <v>21.978021978021978</v>
      </c>
      <c r="F41" s="44" t="s">
        <v>10</v>
      </c>
      <c r="I41">
        <f t="shared" si="1"/>
        <v>-0.22750000000000001</v>
      </c>
      <c r="J41">
        <f t="shared" si="2"/>
        <v>5</v>
      </c>
    </row>
    <row r="42" spans="2:11" x14ac:dyDescent="0.3">
      <c r="B42" s="4">
        <v>44977.048611111109</v>
      </c>
      <c r="C42" s="44">
        <v>0.19689999999999999</v>
      </c>
      <c r="D42" s="44">
        <v>5</v>
      </c>
      <c r="E42" s="44">
        <f t="shared" si="0"/>
        <v>25.393600812595228</v>
      </c>
      <c r="F42" s="44" t="s">
        <v>10</v>
      </c>
      <c r="I42">
        <f t="shared" si="1"/>
        <v>-0.19689999999999999</v>
      </c>
      <c r="J42">
        <f t="shared" si="2"/>
        <v>5</v>
      </c>
    </row>
    <row r="43" spans="2:11" x14ac:dyDescent="0.3">
      <c r="B43" s="4">
        <v>44986.004861111112</v>
      </c>
      <c r="C43" s="44">
        <v>0.4521</v>
      </c>
      <c r="D43" s="44">
        <v>9.9344000000000001</v>
      </c>
      <c r="E43" s="44">
        <f t="shared" si="0"/>
        <v>21.973899579738998</v>
      </c>
      <c r="F43" s="44" t="s">
        <v>8</v>
      </c>
      <c r="I43">
        <f t="shared" si="1"/>
        <v>0.4521</v>
      </c>
      <c r="J43">
        <f t="shared" si="2"/>
        <v>-9.9344000000000001</v>
      </c>
    </row>
    <row r="44" spans="2:11" x14ac:dyDescent="0.3">
      <c r="B44" s="4">
        <v>44994.952777777777</v>
      </c>
      <c r="C44" s="44">
        <v>0.30303029999999997</v>
      </c>
      <c r="D44" s="44">
        <v>5</v>
      </c>
      <c r="E44" s="44">
        <f t="shared" si="0"/>
        <v>16.500000165000003</v>
      </c>
      <c r="F44" s="44" t="s">
        <v>8</v>
      </c>
      <c r="I44">
        <f t="shared" si="1"/>
        <v>0.30303029999999997</v>
      </c>
      <c r="J44">
        <f t="shared" si="2"/>
        <v>-5</v>
      </c>
    </row>
    <row r="45" spans="2:11" x14ac:dyDescent="0.3">
      <c r="B45" s="4">
        <v>45120.970833333333</v>
      </c>
      <c r="C45" s="44">
        <v>2.1428861600000002</v>
      </c>
      <c r="D45" s="44">
        <v>55.21</v>
      </c>
      <c r="E45" s="44">
        <f t="shared" si="0"/>
        <v>25.764317783451453</v>
      </c>
      <c r="F45" s="44" t="s">
        <v>10</v>
      </c>
      <c r="I45" s="9">
        <f t="shared" si="1"/>
        <v>-2.1428861600000002</v>
      </c>
      <c r="J45">
        <f t="shared" si="2"/>
        <v>55.21</v>
      </c>
      <c r="K45" s="9"/>
    </row>
    <row r="46" spans="2:11" x14ac:dyDescent="0.3">
      <c r="B46" s="4">
        <v>45217.315972222219</v>
      </c>
      <c r="C46" s="44">
        <v>1.54800027</v>
      </c>
      <c r="D46" s="44">
        <v>37.017576980000001</v>
      </c>
      <c r="E46" s="44">
        <f t="shared" si="0"/>
        <v>23.913159252872742</v>
      </c>
      <c r="F46" s="7" t="s">
        <v>10</v>
      </c>
      <c r="I46">
        <f t="shared" si="1"/>
        <v>-1.54800027</v>
      </c>
      <c r="J46">
        <f t="shared" si="2"/>
        <v>37.017576980000001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3"/>
  <sheetViews>
    <sheetView zoomScale="115" zoomScaleNormal="115" workbookViewId="0">
      <selection activeCell="M18" sqref="M18"/>
    </sheetView>
  </sheetViews>
  <sheetFormatPr defaultRowHeight="14.4" x14ac:dyDescent="0.3"/>
  <cols>
    <col min="2" max="2" width="15.6640625" style="46" bestFit="1" customWidth="1"/>
    <col min="3" max="3" width="21.88671875" style="46" bestFit="1" customWidth="1"/>
    <col min="8" max="8" width="11.6640625" style="46" bestFit="1" customWidth="1"/>
    <col min="14" max="14" width="11.88671875" style="46" bestFit="1" customWidth="1"/>
  </cols>
  <sheetData>
    <row r="2" spans="2:14" x14ac:dyDescent="0.3">
      <c r="C2" s="62"/>
      <c r="D2" s="63"/>
      <c r="E2" s="63"/>
      <c r="F2" s="63"/>
      <c r="G2" s="63"/>
    </row>
    <row r="3" spans="2:14" x14ac:dyDescent="0.3">
      <c r="C3" s="5" t="s">
        <v>16</v>
      </c>
      <c r="D3" s="44" t="s">
        <v>3</v>
      </c>
      <c r="E3" s="44" t="s">
        <v>4</v>
      </c>
      <c r="F3" s="44" t="s">
        <v>5</v>
      </c>
      <c r="G3" s="44" t="s">
        <v>6</v>
      </c>
      <c r="H3" s="7" t="s">
        <v>7</v>
      </c>
    </row>
    <row r="4" spans="2:14" x14ac:dyDescent="0.3">
      <c r="C4" s="44" t="s">
        <v>20</v>
      </c>
      <c r="D4" s="44">
        <v>207.55</v>
      </c>
      <c r="E4" s="44">
        <v>15</v>
      </c>
      <c r="F4" s="44">
        <f t="shared" ref="F4:F23" si="0">E4/D4</f>
        <v>7.2271741748976145E-2</v>
      </c>
      <c r="G4" s="44" t="s">
        <v>8</v>
      </c>
      <c r="H4" s="3" t="s">
        <v>9</v>
      </c>
      <c r="I4">
        <f t="shared" ref="I4:I23" si="1">IF($G4="BUY",D4,-D4)</f>
        <v>207.55</v>
      </c>
      <c r="J4">
        <f t="shared" ref="J4:J23" si="2">IF($G4="BUY",-E4,E4)</f>
        <v>-15</v>
      </c>
    </row>
    <row r="5" spans="2:14" x14ac:dyDescent="0.3">
      <c r="C5" s="4">
        <v>44792.415277777778</v>
      </c>
      <c r="D5" s="44">
        <v>76.86</v>
      </c>
      <c r="E5" s="44">
        <v>5</v>
      </c>
      <c r="F5" s="44">
        <f t="shared" si="0"/>
        <v>6.505334374186833E-2</v>
      </c>
      <c r="G5" s="44" t="s">
        <v>8</v>
      </c>
      <c r="H5" s="3" t="s">
        <v>9</v>
      </c>
      <c r="I5">
        <f t="shared" si="1"/>
        <v>76.86</v>
      </c>
      <c r="J5">
        <f t="shared" si="2"/>
        <v>-5</v>
      </c>
      <c r="L5" t="s">
        <v>3</v>
      </c>
      <c r="M5" t="s">
        <v>11</v>
      </c>
      <c r="N5" t="s">
        <v>12</v>
      </c>
    </row>
    <row r="6" spans="2:14" x14ac:dyDescent="0.3">
      <c r="C6" s="4">
        <v>44811.362500000003</v>
      </c>
      <c r="D6" s="44">
        <v>84.69</v>
      </c>
      <c r="E6" s="44">
        <v>5</v>
      </c>
      <c r="F6" s="44">
        <f t="shared" si="0"/>
        <v>5.9038847561695598E-2</v>
      </c>
      <c r="G6" s="44" t="s">
        <v>8</v>
      </c>
      <c r="H6" s="3" t="s">
        <v>9</v>
      </c>
      <c r="I6">
        <f t="shared" si="1"/>
        <v>84.69</v>
      </c>
      <c r="J6">
        <f t="shared" si="2"/>
        <v>-5</v>
      </c>
      <c r="L6">
        <f>SUM(I4:I50)</f>
        <v>2141.2787727</v>
      </c>
      <c r="M6">
        <f>-SUM(J4:J50)</f>
        <v>106.82480000000001</v>
      </c>
      <c r="N6">
        <f>M6/L6</f>
        <v>4.9888319709675888E-2</v>
      </c>
    </row>
    <row r="7" spans="2:14" x14ac:dyDescent="0.3">
      <c r="C7" s="4">
        <v>44854.890972222223</v>
      </c>
      <c r="D7" s="44">
        <v>86.3</v>
      </c>
      <c r="E7" s="44">
        <v>5</v>
      </c>
      <c r="F7" s="44">
        <f t="shared" si="0"/>
        <v>5.7937427578215531E-2</v>
      </c>
      <c r="G7" s="44" t="s">
        <v>8</v>
      </c>
      <c r="H7" s="3" t="s">
        <v>9</v>
      </c>
      <c r="I7">
        <f t="shared" si="1"/>
        <v>86.3</v>
      </c>
      <c r="J7">
        <f t="shared" si="2"/>
        <v>-5</v>
      </c>
    </row>
    <row r="8" spans="2:14" x14ac:dyDescent="0.3">
      <c r="C8" s="4">
        <v>44873.901388888888</v>
      </c>
      <c r="D8" s="44">
        <v>99.64</v>
      </c>
      <c r="E8" s="44">
        <v>5</v>
      </c>
      <c r="F8" s="44">
        <f t="shared" si="0"/>
        <v>5.0180650341228421E-2</v>
      </c>
      <c r="G8" s="44" t="s">
        <v>8</v>
      </c>
      <c r="H8" s="3" t="s">
        <v>9</v>
      </c>
      <c r="I8">
        <f t="shared" si="1"/>
        <v>99.64</v>
      </c>
      <c r="J8">
        <f t="shared" si="2"/>
        <v>-5</v>
      </c>
    </row>
    <row r="9" spans="2:14" x14ac:dyDescent="0.3">
      <c r="C9" s="4">
        <v>44875.088194444441</v>
      </c>
      <c r="D9" s="44">
        <v>56.8</v>
      </c>
      <c r="E9" s="44">
        <v>2.5</v>
      </c>
      <c r="F9" s="44">
        <f t="shared" si="0"/>
        <v>4.4014084507042257E-2</v>
      </c>
      <c r="G9" s="44" t="s">
        <v>8</v>
      </c>
      <c r="H9" s="3" t="s">
        <v>9</v>
      </c>
      <c r="I9">
        <f t="shared" si="1"/>
        <v>56.8</v>
      </c>
      <c r="J9">
        <f t="shared" si="2"/>
        <v>-2.5</v>
      </c>
    </row>
    <row r="10" spans="2:14" x14ac:dyDescent="0.3">
      <c r="C10" s="4">
        <v>44882.688194444447</v>
      </c>
      <c r="D10" s="44">
        <v>50.12</v>
      </c>
      <c r="E10" s="44">
        <v>2.5</v>
      </c>
      <c r="F10" s="44">
        <f t="shared" si="0"/>
        <v>4.9880287310454914E-2</v>
      </c>
      <c r="G10" s="44" t="s">
        <v>10</v>
      </c>
      <c r="H10" s="3" t="s">
        <v>9</v>
      </c>
      <c r="I10">
        <f t="shared" si="1"/>
        <v>-50.12</v>
      </c>
      <c r="J10">
        <f t="shared" si="2"/>
        <v>2.5</v>
      </c>
    </row>
    <row r="11" spans="2:14" x14ac:dyDescent="0.3">
      <c r="C11" s="4">
        <v>44912.030555555553</v>
      </c>
      <c r="D11" s="44">
        <v>237.042</v>
      </c>
      <c r="E11" s="44">
        <v>10</v>
      </c>
      <c r="F11" s="44">
        <f t="shared" si="0"/>
        <v>4.2186616717712476E-2</v>
      </c>
      <c r="G11" s="44" t="s">
        <v>10</v>
      </c>
      <c r="H11" s="3" t="s">
        <v>9</v>
      </c>
      <c r="I11">
        <f t="shared" si="1"/>
        <v>-237.042</v>
      </c>
      <c r="J11">
        <f t="shared" si="2"/>
        <v>10</v>
      </c>
    </row>
    <row r="12" spans="2:14" x14ac:dyDescent="0.3">
      <c r="B12" s="6"/>
      <c r="C12" s="4">
        <v>44912.035416666673</v>
      </c>
      <c r="D12" s="44">
        <v>237.01</v>
      </c>
      <c r="E12" s="44">
        <v>10</v>
      </c>
      <c r="F12" s="44">
        <f t="shared" si="0"/>
        <v>4.2192312560651452E-2</v>
      </c>
      <c r="G12" s="44" t="s">
        <v>10</v>
      </c>
      <c r="H12" s="3" t="s">
        <v>9</v>
      </c>
      <c r="I12">
        <f t="shared" si="1"/>
        <v>-237.01</v>
      </c>
      <c r="J12">
        <f t="shared" si="2"/>
        <v>10</v>
      </c>
    </row>
    <row r="13" spans="2:14" x14ac:dyDescent="0.3">
      <c r="B13" s="6"/>
      <c r="C13" s="4">
        <v>44915.243750000001</v>
      </c>
      <c r="D13" s="44">
        <v>238.05500000000001</v>
      </c>
      <c r="E13" s="44">
        <v>10</v>
      </c>
      <c r="F13" s="44">
        <f t="shared" si="0"/>
        <v>4.2007099199764759E-2</v>
      </c>
      <c r="G13" s="44" t="s">
        <v>8</v>
      </c>
      <c r="H13" s="3" t="s">
        <v>9</v>
      </c>
      <c r="I13">
        <f t="shared" si="1"/>
        <v>238.05500000000001</v>
      </c>
      <c r="J13">
        <f t="shared" si="2"/>
        <v>-10</v>
      </c>
    </row>
    <row r="14" spans="2:14" x14ac:dyDescent="0.3">
      <c r="B14" s="6"/>
      <c r="C14" s="4">
        <v>44915.25</v>
      </c>
      <c r="D14" s="44">
        <v>238.05549999999999</v>
      </c>
      <c r="E14" s="44">
        <v>10</v>
      </c>
      <c r="F14" s="44">
        <f t="shared" si="0"/>
        <v>4.2007010970130917E-2</v>
      </c>
      <c r="G14" s="44" t="s">
        <v>8</v>
      </c>
      <c r="H14" s="3" t="s">
        <v>9</v>
      </c>
      <c r="I14">
        <f t="shared" si="1"/>
        <v>238.05549999999999</v>
      </c>
      <c r="J14">
        <f t="shared" si="2"/>
        <v>-10</v>
      </c>
    </row>
    <row r="15" spans="2:14" x14ac:dyDescent="0.3">
      <c r="B15" s="6"/>
      <c r="C15" s="4">
        <v>44924.994444444441</v>
      </c>
      <c r="D15" s="44">
        <v>128.15899999999999</v>
      </c>
      <c r="E15" s="44">
        <v>5</v>
      </c>
      <c r="F15" s="44">
        <f t="shared" si="0"/>
        <v>3.9014037250602769E-2</v>
      </c>
      <c r="G15" s="44" t="s">
        <v>8</v>
      </c>
      <c r="H15" s="3" t="s">
        <v>9</v>
      </c>
      <c r="I15">
        <f t="shared" si="1"/>
        <v>128.15899999999999</v>
      </c>
      <c r="J15">
        <f t="shared" si="2"/>
        <v>-5</v>
      </c>
    </row>
    <row r="16" spans="2:14" x14ac:dyDescent="0.3">
      <c r="C16" s="4">
        <v>44927.081944444442</v>
      </c>
      <c r="D16" s="44">
        <v>136.62200000000001</v>
      </c>
      <c r="E16" s="44">
        <v>5</v>
      </c>
      <c r="F16" s="44">
        <f t="shared" si="0"/>
        <v>3.6597326931240938E-2</v>
      </c>
      <c r="G16" s="44" t="s">
        <v>8</v>
      </c>
      <c r="H16" s="3" t="s">
        <v>9</v>
      </c>
      <c r="I16">
        <f t="shared" si="1"/>
        <v>136.62200000000001</v>
      </c>
      <c r="J16">
        <f t="shared" si="2"/>
        <v>-5</v>
      </c>
    </row>
    <row r="17" spans="3:10" x14ac:dyDescent="0.3">
      <c r="C17" s="4">
        <v>44944.927951388891</v>
      </c>
      <c r="D17" s="44">
        <v>264</v>
      </c>
      <c r="E17" s="44">
        <v>14.86</v>
      </c>
      <c r="F17" s="44">
        <f t="shared" si="0"/>
        <v>5.6287878787878783E-2</v>
      </c>
      <c r="G17" s="44" t="s">
        <v>10</v>
      </c>
      <c r="H17" s="3" t="s">
        <v>9</v>
      </c>
      <c r="I17">
        <f t="shared" si="1"/>
        <v>-264</v>
      </c>
      <c r="J17">
        <f t="shared" si="2"/>
        <v>14.86</v>
      </c>
    </row>
    <row r="18" spans="3:10" x14ac:dyDescent="0.3">
      <c r="C18" s="4">
        <v>44967.524178240739</v>
      </c>
      <c r="D18" s="44">
        <v>564</v>
      </c>
      <c r="E18" s="44">
        <v>43.315199999999997</v>
      </c>
      <c r="F18" s="44">
        <f t="shared" si="0"/>
        <v>7.6799999999999993E-2</v>
      </c>
      <c r="G18" s="44" t="s">
        <v>10</v>
      </c>
      <c r="H18" s="3" t="s">
        <v>9</v>
      </c>
      <c r="I18">
        <f t="shared" si="1"/>
        <v>-564</v>
      </c>
      <c r="J18">
        <f t="shared" si="2"/>
        <v>43.315199999999997</v>
      </c>
    </row>
    <row r="19" spans="3:10" x14ac:dyDescent="0.3">
      <c r="C19" s="4">
        <v>44997.778680555559</v>
      </c>
      <c r="D19" s="44">
        <v>760.47617270000001</v>
      </c>
      <c r="E19" s="44">
        <v>43</v>
      </c>
      <c r="F19" s="44">
        <f t="shared" si="0"/>
        <v>5.6543520420018548E-2</v>
      </c>
      <c r="G19" s="44" t="s">
        <v>8</v>
      </c>
      <c r="H19" s="3" t="s">
        <v>9</v>
      </c>
      <c r="I19">
        <f t="shared" si="1"/>
        <v>760.47617270000001</v>
      </c>
      <c r="J19">
        <f t="shared" si="2"/>
        <v>-43</v>
      </c>
    </row>
    <row r="20" spans="3:10" x14ac:dyDescent="0.3">
      <c r="C20" s="4">
        <v>45035.287858796299</v>
      </c>
      <c r="D20" s="44">
        <v>252.03700000000001</v>
      </c>
      <c r="E20" s="44">
        <v>17</v>
      </c>
      <c r="F20" s="44">
        <f t="shared" si="0"/>
        <v>6.7450414026511973E-2</v>
      </c>
      <c r="G20" s="44" t="s">
        <v>8</v>
      </c>
      <c r="H20" s="3" t="s">
        <v>9</v>
      </c>
      <c r="I20">
        <f t="shared" si="1"/>
        <v>252.03700000000001</v>
      </c>
      <c r="J20">
        <f t="shared" si="2"/>
        <v>-17</v>
      </c>
    </row>
    <row r="21" spans="3:10" x14ac:dyDescent="0.3">
      <c r="C21" s="4">
        <v>45054.020833333343</v>
      </c>
      <c r="D21" s="44">
        <v>351.161</v>
      </c>
      <c r="E21" s="44">
        <v>20</v>
      </c>
      <c r="F21" s="44">
        <f t="shared" si="0"/>
        <v>5.6953932811445465E-2</v>
      </c>
      <c r="G21" s="44" t="s">
        <v>8</v>
      </c>
      <c r="H21" s="3" t="s">
        <v>9</v>
      </c>
      <c r="I21">
        <f t="shared" si="1"/>
        <v>351.161</v>
      </c>
      <c r="J21">
        <f t="shared" si="2"/>
        <v>-20</v>
      </c>
    </row>
    <row r="22" spans="3:10" x14ac:dyDescent="0.3">
      <c r="C22" s="4">
        <v>45056.781944444447</v>
      </c>
      <c r="D22" s="44">
        <v>365.95299999999997</v>
      </c>
      <c r="E22" s="44">
        <v>20</v>
      </c>
      <c r="F22" s="44">
        <f t="shared" si="0"/>
        <v>5.4651826873942835E-2</v>
      </c>
      <c r="G22" s="44" t="s">
        <v>8</v>
      </c>
      <c r="H22" s="3" t="s">
        <v>9</v>
      </c>
      <c r="I22">
        <f t="shared" si="1"/>
        <v>365.95299999999997</v>
      </c>
      <c r="J22">
        <f t="shared" si="2"/>
        <v>-20</v>
      </c>
    </row>
    <row r="23" spans="3:10" x14ac:dyDescent="0.3">
      <c r="C23" s="4">
        <v>45084.897222222222</v>
      </c>
      <c r="D23" s="44">
        <v>411.09210000000002</v>
      </c>
      <c r="E23" s="44">
        <v>20</v>
      </c>
      <c r="F23" s="44">
        <f t="shared" si="0"/>
        <v>4.8650898423978468E-2</v>
      </c>
      <c r="G23" s="44" t="s">
        <v>8</v>
      </c>
      <c r="H23" s="3" t="s">
        <v>9</v>
      </c>
      <c r="I23">
        <f t="shared" si="1"/>
        <v>411.09210000000002</v>
      </c>
      <c r="J23">
        <f t="shared" si="2"/>
        <v>-20</v>
      </c>
    </row>
  </sheetData>
  <mergeCells count="1">
    <mergeCell ref="C2:G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H11"/>
  <sheetViews>
    <sheetView workbookViewId="0">
      <selection activeCell="F17" sqref="F17"/>
    </sheetView>
  </sheetViews>
  <sheetFormatPr defaultRowHeight="14.4" x14ac:dyDescent="0.3"/>
  <cols>
    <col min="3" max="3" width="15.5546875" style="46" bestFit="1" customWidth="1"/>
    <col min="4" max="4" width="12" style="46" bestFit="1" customWidth="1"/>
    <col min="5" max="5" width="11" style="46" bestFit="1" customWidth="1"/>
    <col min="6" max="6" width="12" style="46" bestFit="1" customWidth="1"/>
    <col min="8" max="8" width="11.6640625" style="46" bestFit="1" customWidth="1"/>
  </cols>
  <sheetData>
    <row r="7" spans="3:8" x14ac:dyDescent="0.3">
      <c r="C7" s="62" t="s">
        <v>34</v>
      </c>
      <c r="D7" s="63"/>
      <c r="E7" s="63"/>
      <c r="F7" s="63"/>
      <c r="G7" s="63"/>
    </row>
    <row r="8" spans="3:8" x14ac:dyDescent="0.3">
      <c r="C8" s="44" t="s">
        <v>16</v>
      </c>
      <c r="D8" s="44" t="s">
        <v>3</v>
      </c>
      <c r="E8" s="44" t="s">
        <v>4</v>
      </c>
      <c r="F8" s="44" t="s">
        <v>5</v>
      </c>
      <c r="G8" s="44" t="s">
        <v>6</v>
      </c>
      <c r="H8" s="44" t="s">
        <v>7</v>
      </c>
    </row>
    <row r="9" spans="3:8" x14ac:dyDescent="0.3">
      <c r="C9" s="44" t="s">
        <v>35</v>
      </c>
      <c r="D9" s="44">
        <v>11.367205780000001</v>
      </c>
      <c r="E9" s="44">
        <v>10</v>
      </c>
      <c r="F9" s="44">
        <f>E9/D9</f>
        <v>0.87972367119406536</v>
      </c>
      <c r="G9" s="44" t="s">
        <v>8</v>
      </c>
      <c r="H9" s="44" t="s">
        <v>9</v>
      </c>
    </row>
    <row r="10" spans="3:8" x14ac:dyDescent="0.3">
      <c r="C10" s="29">
        <v>44934.938888888893</v>
      </c>
      <c r="D10" s="44">
        <v>11.367205780000001</v>
      </c>
      <c r="E10" s="44">
        <v>4.2377371799999999</v>
      </c>
      <c r="F10" s="44">
        <f>E10/D10</f>
        <v>0.37280377095451855</v>
      </c>
      <c r="G10" s="44" t="s">
        <v>10</v>
      </c>
      <c r="H10" s="44" t="s">
        <v>9</v>
      </c>
    </row>
    <row r="11" spans="3:8" x14ac:dyDescent="0.3">
      <c r="C11" s="29">
        <v>45157.969444444447</v>
      </c>
      <c r="D11" s="12">
        <v>13.753699299999999</v>
      </c>
      <c r="E11" s="55">
        <v>4.2300000000000004</v>
      </c>
      <c r="F11" s="12">
        <f>E11/D11</f>
        <v>0.30755361941059745</v>
      </c>
      <c r="G11" s="55" t="s">
        <v>8</v>
      </c>
      <c r="H11" s="12" t="s">
        <v>9</v>
      </c>
    </row>
  </sheetData>
  <mergeCells count="1">
    <mergeCell ref="C7:G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7"/>
  <sheetViews>
    <sheetView topLeftCell="A7" workbookViewId="0">
      <selection activeCell="C8" sqref="C8"/>
    </sheetView>
  </sheetViews>
  <sheetFormatPr defaultRowHeight="14.4" x14ac:dyDescent="0.3"/>
  <cols>
    <col min="3" max="3" width="14.44140625" style="46" bestFit="1" customWidth="1"/>
    <col min="8" max="8" width="11.6640625" style="46" bestFit="1" customWidth="1"/>
  </cols>
  <sheetData>
    <row r="4" spans="3:8" x14ac:dyDescent="0.3">
      <c r="C4" s="64" t="s">
        <v>36</v>
      </c>
      <c r="D4" s="65"/>
      <c r="E4" s="65"/>
      <c r="F4" s="65"/>
      <c r="G4" s="65"/>
    </row>
    <row r="5" spans="3:8" x14ac:dyDescent="0.3">
      <c r="C5" s="44" t="s">
        <v>16</v>
      </c>
      <c r="D5" s="44" t="s">
        <v>3</v>
      </c>
      <c r="E5" s="44" t="s">
        <v>4</v>
      </c>
      <c r="F5" s="44" t="s">
        <v>5</v>
      </c>
      <c r="G5" s="44" t="s">
        <v>6</v>
      </c>
      <c r="H5" s="7" t="s">
        <v>7</v>
      </c>
    </row>
    <row r="6" spans="3:8" x14ac:dyDescent="0.3">
      <c r="C6" s="28">
        <v>45005.40625</v>
      </c>
      <c r="D6">
        <v>1.6666666000000001</v>
      </c>
      <c r="E6">
        <v>20</v>
      </c>
      <c r="F6">
        <f>E6/D6</f>
        <v>12.000000480000018</v>
      </c>
      <c r="G6" t="s">
        <v>8</v>
      </c>
      <c r="H6" s="3" t="s">
        <v>9</v>
      </c>
    </row>
    <row r="7" spans="3:8" x14ac:dyDescent="0.3">
      <c r="C7" t="s">
        <v>20</v>
      </c>
      <c r="G7" t="s">
        <v>37</v>
      </c>
    </row>
  </sheetData>
  <mergeCells count="1"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17"/>
  <sheetViews>
    <sheetView workbookViewId="0">
      <selection activeCell="H17" sqref="H17"/>
    </sheetView>
  </sheetViews>
  <sheetFormatPr defaultRowHeight="14.4" x14ac:dyDescent="0.3"/>
  <cols>
    <col min="2" max="2" width="13.6640625" style="46" bestFit="1" customWidth="1"/>
    <col min="13" max="13" width="14.5546875" style="46" customWidth="1"/>
    <col min="16" max="16" width="20.6640625" style="46" bestFit="1" customWidth="1"/>
    <col min="21" max="21" width="31" style="46" customWidth="1"/>
  </cols>
  <sheetData>
    <row r="3" spans="2:21" x14ac:dyDescent="0.3">
      <c r="B3" s="64" t="s">
        <v>38</v>
      </c>
      <c r="C3" s="65"/>
      <c r="D3" s="65"/>
      <c r="E3" s="65"/>
      <c r="F3" s="65"/>
    </row>
    <row r="4" spans="2:21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</row>
    <row r="5" spans="2:21" x14ac:dyDescent="0.3">
      <c r="B5" s="4">
        <v>45083.907638888893</v>
      </c>
      <c r="C5" s="32">
        <v>96.985682999999995</v>
      </c>
      <c r="D5" s="44">
        <v>20</v>
      </c>
      <c r="E5" s="44">
        <f>D5/C5</f>
        <v>0.20621600406732199</v>
      </c>
      <c r="F5" s="44" t="s">
        <v>8</v>
      </c>
      <c r="H5">
        <f>IF($F5="BUY",C5,-C5)</f>
        <v>96.985682999999995</v>
      </c>
      <c r="I5">
        <f>IF($F5="BUY",-D5,D5)</f>
        <v>-20</v>
      </c>
      <c r="K5" s="55"/>
      <c r="L5" s="55"/>
      <c r="M5" s="55" t="s">
        <v>21</v>
      </c>
      <c r="N5" s="55" t="s">
        <v>8</v>
      </c>
      <c r="O5" s="55" t="s">
        <v>10</v>
      </c>
      <c r="P5" s="66" t="s">
        <v>39</v>
      </c>
      <c r="Q5" s="63"/>
      <c r="R5" s="63"/>
      <c r="S5" s="63"/>
      <c r="T5" s="63"/>
      <c r="U5" s="63"/>
    </row>
    <row r="6" spans="2:21" x14ac:dyDescent="0.3">
      <c r="B6" s="4">
        <v>45142.864583333343</v>
      </c>
      <c r="C6" s="32">
        <v>96.985682999999995</v>
      </c>
      <c r="D6">
        <v>20.18</v>
      </c>
      <c r="E6" s="44">
        <f>D6/C6</f>
        <v>0.20807194810392787</v>
      </c>
      <c r="F6" t="s">
        <v>10</v>
      </c>
      <c r="K6" s="55" t="s">
        <v>23</v>
      </c>
      <c r="L6" s="55"/>
      <c r="M6" s="55"/>
      <c r="N6" s="55"/>
      <c r="O6" s="55"/>
    </row>
    <row r="7" spans="2:21" x14ac:dyDescent="0.3">
      <c r="K7" s="55"/>
      <c r="L7" s="55" t="s">
        <v>40</v>
      </c>
      <c r="M7" s="55" t="s">
        <v>41</v>
      </c>
      <c r="N7" s="55">
        <v>0.1</v>
      </c>
      <c r="O7" s="55">
        <v>2.5</v>
      </c>
    </row>
    <row r="16" spans="2:21" x14ac:dyDescent="0.3">
      <c r="K16" t="s">
        <v>3</v>
      </c>
      <c r="L16" t="s">
        <v>11</v>
      </c>
      <c r="M16" t="s">
        <v>12</v>
      </c>
    </row>
    <row r="17" spans="11:13" x14ac:dyDescent="0.3">
      <c r="K17">
        <f>SUM($H1:$H33)</f>
        <v>96.985682999999995</v>
      </c>
      <c r="L17">
        <f>-SUM($I1:$I33)</f>
        <v>20</v>
      </c>
      <c r="M17">
        <f>L17/K17</f>
        <v>0.20621600406732199</v>
      </c>
    </row>
  </sheetData>
  <mergeCells count="2">
    <mergeCell ref="P5:U5"/>
    <mergeCell ref="B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topLeftCell="B1" workbookViewId="0">
      <selection activeCell="N25" sqref="N25"/>
    </sheetView>
  </sheetViews>
  <sheetFormatPr defaultRowHeight="14.4" x14ac:dyDescent="0.3"/>
  <cols>
    <col min="2" max="2" width="21.5546875" style="46" bestFit="1" customWidth="1"/>
    <col min="4" max="4" width="10" style="46" bestFit="1" customWidth="1"/>
    <col min="5" max="5" width="12" style="46" bestFit="1" customWidth="1"/>
  </cols>
  <sheetData>
    <row r="3" spans="2:13" x14ac:dyDescent="0.3">
      <c r="B3" s="64" t="s">
        <v>42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</row>
    <row r="5" spans="2:13" x14ac:dyDescent="0.3">
      <c r="B5" s="4">
        <v>45030.931574074071</v>
      </c>
      <c r="C5" s="44">
        <v>2.31</v>
      </c>
      <c r="D5" s="44">
        <v>20</v>
      </c>
      <c r="E5" s="44">
        <f t="shared" ref="E5:E22" si="0">D5/C5</f>
        <v>8.6580086580086579</v>
      </c>
      <c r="F5" s="44" t="s">
        <v>8</v>
      </c>
      <c r="H5">
        <f t="shared" ref="H5:H22" si="1">IF($F5="BUY",C5,-C5)</f>
        <v>2.31</v>
      </c>
      <c r="I5">
        <f t="shared" ref="I5:I22" si="2">IF($F5="BUY",-D5,D5)</f>
        <v>-20</v>
      </c>
    </row>
    <row r="6" spans="2:13" x14ac:dyDescent="0.3">
      <c r="B6" s="4">
        <v>45032.433437500003</v>
      </c>
      <c r="C6" s="44">
        <v>2.2197346200000001</v>
      </c>
      <c r="D6" s="44">
        <v>20</v>
      </c>
      <c r="E6" s="44">
        <f t="shared" si="0"/>
        <v>9.0100860795692768</v>
      </c>
      <c r="F6" s="44" t="s">
        <v>8</v>
      </c>
      <c r="H6">
        <f t="shared" si="1"/>
        <v>2.2197346200000001</v>
      </c>
      <c r="I6">
        <f t="shared" si="2"/>
        <v>-20</v>
      </c>
    </row>
    <row r="7" spans="2:13" x14ac:dyDescent="0.3">
      <c r="B7" s="4">
        <v>45048.529166666667</v>
      </c>
      <c r="C7" s="44">
        <v>2.75834424</v>
      </c>
      <c r="D7" s="44">
        <v>20</v>
      </c>
      <c r="E7" s="44">
        <f t="shared" si="0"/>
        <v>7.2507266170664764</v>
      </c>
      <c r="F7" s="44" t="s">
        <v>8</v>
      </c>
      <c r="H7">
        <f t="shared" si="1"/>
        <v>2.75834424</v>
      </c>
      <c r="I7">
        <f t="shared" si="2"/>
        <v>-20</v>
      </c>
    </row>
    <row r="8" spans="2:13" x14ac:dyDescent="0.3">
      <c r="B8" s="4">
        <v>45056.93472222222</v>
      </c>
      <c r="C8" s="44">
        <v>4.5331558999999997</v>
      </c>
      <c r="D8" s="44">
        <v>30</v>
      </c>
      <c r="E8" s="44">
        <f t="shared" si="0"/>
        <v>6.6179060817211255</v>
      </c>
      <c r="F8" s="44" t="s">
        <v>8</v>
      </c>
      <c r="H8">
        <f t="shared" si="1"/>
        <v>4.5331558999999997</v>
      </c>
      <c r="I8">
        <f t="shared" si="2"/>
        <v>-30</v>
      </c>
    </row>
    <row r="9" spans="2:13" x14ac:dyDescent="0.3">
      <c r="B9" s="4">
        <v>45092.808333333327</v>
      </c>
      <c r="C9" s="44">
        <v>4.2939999999999996</v>
      </c>
      <c r="D9" s="44">
        <v>20</v>
      </c>
      <c r="E9" s="44">
        <f t="shared" si="0"/>
        <v>4.6576618537494179</v>
      </c>
      <c r="F9" s="44" t="s">
        <v>8</v>
      </c>
      <c r="H9">
        <f t="shared" si="1"/>
        <v>4.2939999999999996</v>
      </c>
      <c r="I9">
        <f t="shared" si="2"/>
        <v>-20</v>
      </c>
    </row>
    <row r="10" spans="2:13" x14ac:dyDescent="0.3">
      <c r="B10" s="4">
        <v>45154.981944444437</v>
      </c>
      <c r="C10" s="44">
        <v>3.6555</v>
      </c>
      <c r="D10" s="44">
        <v>20</v>
      </c>
      <c r="E10" s="44">
        <f t="shared" si="0"/>
        <v>5.4712077691150318</v>
      </c>
      <c r="F10" s="44" t="s">
        <v>10</v>
      </c>
      <c r="H10">
        <f t="shared" si="1"/>
        <v>-3.6555</v>
      </c>
      <c r="I10">
        <f t="shared" si="2"/>
        <v>20</v>
      </c>
    </row>
    <row r="11" spans="2:13" x14ac:dyDescent="0.3">
      <c r="B11" s="4">
        <v>45156.349305555559</v>
      </c>
      <c r="C11" s="44">
        <v>4.3943000000000003</v>
      </c>
      <c r="D11" s="44">
        <v>20</v>
      </c>
      <c r="E11" s="44">
        <f t="shared" si="0"/>
        <v>4.5513506132944945</v>
      </c>
      <c r="F11" s="44" t="s">
        <v>8</v>
      </c>
      <c r="H11">
        <f t="shared" si="1"/>
        <v>4.3943000000000003</v>
      </c>
      <c r="I11">
        <f t="shared" si="2"/>
        <v>-20</v>
      </c>
    </row>
    <row r="12" spans="2:13" x14ac:dyDescent="0.3">
      <c r="B12" s="4">
        <v>45186.969363425917</v>
      </c>
      <c r="C12" s="44">
        <v>5.0653100000000002</v>
      </c>
      <c r="D12" s="44">
        <v>20</v>
      </c>
      <c r="E12" s="44">
        <f t="shared" si="0"/>
        <v>3.9484256639771305</v>
      </c>
      <c r="F12" s="44" t="s">
        <v>8</v>
      </c>
      <c r="H12">
        <f t="shared" si="1"/>
        <v>5.0653100000000002</v>
      </c>
      <c r="I12">
        <f t="shared" si="2"/>
        <v>-20</v>
      </c>
    </row>
    <row r="13" spans="2:13" x14ac:dyDescent="0.3">
      <c r="B13" s="4">
        <v>45251.76666666667</v>
      </c>
      <c r="C13" s="44">
        <v>10.5</v>
      </c>
      <c r="D13" s="44">
        <v>82.316100000000006</v>
      </c>
      <c r="E13" s="44">
        <f t="shared" si="0"/>
        <v>7.8396285714285723</v>
      </c>
      <c r="F13" s="44" t="s">
        <v>10</v>
      </c>
      <c r="H13">
        <f t="shared" si="1"/>
        <v>-10.5</v>
      </c>
      <c r="I13">
        <f t="shared" si="2"/>
        <v>82.316100000000006</v>
      </c>
    </row>
    <row r="14" spans="2:13" x14ac:dyDescent="0.3">
      <c r="B14" s="4">
        <v>45252.830555555563</v>
      </c>
      <c r="C14" s="44">
        <v>12.31265</v>
      </c>
      <c r="D14" s="44">
        <v>82.316100000000006</v>
      </c>
      <c r="E14" s="44">
        <f t="shared" si="0"/>
        <v>6.6854901260086175</v>
      </c>
      <c r="F14" s="44" t="s">
        <v>8</v>
      </c>
      <c r="H14">
        <f t="shared" si="1"/>
        <v>12.31265</v>
      </c>
      <c r="I14">
        <f t="shared" si="2"/>
        <v>-82.316100000000006</v>
      </c>
    </row>
    <row r="15" spans="2:13" x14ac:dyDescent="0.3">
      <c r="B15" s="4">
        <v>45283.617361111108</v>
      </c>
      <c r="C15" s="44">
        <v>7.2629999999999999</v>
      </c>
      <c r="D15" s="44">
        <v>102.233988</v>
      </c>
      <c r="E15" s="44">
        <f t="shared" si="0"/>
        <v>14.076000000000001</v>
      </c>
      <c r="F15" s="44" t="s">
        <v>10</v>
      </c>
      <c r="H15">
        <f t="shared" si="1"/>
        <v>-7.2629999999999999</v>
      </c>
      <c r="I15">
        <f t="shared" si="2"/>
        <v>102.233988</v>
      </c>
      <c r="K15" t="s">
        <v>3</v>
      </c>
      <c r="L15" t="s">
        <v>11</v>
      </c>
      <c r="M15" t="s">
        <v>12</v>
      </c>
    </row>
    <row r="16" spans="2:13" x14ac:dyDescent="0.3">
      <c r="B16" s="4">
        <v>45283.618055555547</v>
      </c>
      <c r="C16" s="44">
        <v>2.7370000000000001</v>
      </c>
      <c r="D16" s="44">
        <v>38.526012000000001</v>
      </c>
      <c r="E16" s="44">
        <f t="shared" si="0"/>
        <v>14.076000000000001</v>
      </c>
      <c r="F16" s="44" t="s">
        <v>10</v>
      </c>
      <c r="H16">
        <f t="shared" si="1"/>
        <v>-2.7370000000000001</v>
      </c>
      <c r="I16">
        <f t="shared" si="2"/>
        <v>38.526012000000001</v>
      </c>
      <c r="K16">
        <f>SUM($H1:$H32)</f>
        <v>1.1994760000001881E-2</v>
      </c>
      <c r="L16">
        <f>-SUM($I1:$I32)</f>
        <v>-453.92519899999996</v>
      </c>
      <c r="M16">
        <f>L16/K16</f>
        <v>-37843.624966229319</v>
      </c>
    </row>
    <row r="17" spans="2:9" x14ac:dyDescent="0.3">
      <c r="B17" s="4">
        <v>45284.061805555553</v>
      </c>
      <c r="C17" s="44">
        <v>0.17399999999999999</v>
      </c>
      <c r="D17" s="44">
        <v>4.2341160000000002</v>
      </c>
      <c r="E17" s="44">
        <f t="shared" si="0"/>
        <v>24.334000000000003</v>
      </c>
      <c r="F17" s="44" t="s">
        <v>10</v>
      </c>
      <c r="H17">
        <f t="shared" si="1"/>
        <v>-0.17399999999999999</v>
      </c>
      <c r="I17">
        <f t="shared" si="2"/>
        <v>4.2341160000000002</v>
      </c>
    </row>
    <row r="18" spans="2:9" x14ac:dyDescent="0.3">
      <c r="B18" s="4">
        <v>45284.061805555553</v>
      </c>
      <c r="C18" s="44">
        <v>2.9239999999999999</v>
      </c>
      <c r="D18" s="44">
        <v>71.152615999999995</v>
      </c>
      <c r="E18" s="44">
        <f t="shared" si="0"/>
        <v>24.334</v>
      </c>
      <c r="F18" s="44" t="s">
        <v>10</v>
      </c>
      <c r="H18">
        <f t="shared" si="1"/>
        <v>-2.9239999999999999</v>
      </c>
      <c r="I18">
        <f t="shared" si="2"/>
        <v>71.152615999999995</v>
      </c>
    </row>
    <row r="19" spans="2:9" x14ac:dyDescent="0.3">
      <c r="B19" s="4">
        <v>45284.061805555553</v>
      </c>
      <c r="C19" s="44">
        <v>2.9020000000000001</v>
      </c>
      <c r="D19" s="44">
        <v>70.61</v>
      </c>
      <c r="E19" s="44">
        <f t="shared" si="0"/>
        <v>24.331495520330805</v>
      </c>
      <c r="F19" s="44" t="s">
        <v>10</v>
      </c>
      <c r="H19">
        <f t="shared" si="1"/>
        <v>-2.9020000000000001</v>
      </c>
      <c r="I19">
        <f t="shared" si="2"/>
        <v>70.61</v>
      </c>
    </row>
    <row r="20" spans="2:9" x14ac:dyDescent="0.3">
      <c r="B20" s="4">
        <v>45284.512499999997</v>
      </c>
      <c r="C20" s="44">
        <v>2.6139999999999999</v>
      </c>
      <c r="D20" s="44">
        <v>100.57365</v>
      </c>
      <c r="E20" s="44">
        <f t="shared" si="0"/>
        <v>38.475000000000001</v>
      </c>
      <c r="F20" s="44" t="s">
        <v>10</v>
      </c>
      <c r="H20">
        <f t="shared" si="1"/>
        <v>-2.6139999999999999</v>
      </c>
      <c r="I20">
        <f t="shared" si="2"/>
        <v>100.57365</v>
      </c>
    </row>
    <row r="21" spans="2:9" x14ac:dyDescent="0.3">
      <c r="B21" s="4">
        <v>45284.512499999997</v>
      </c>
      <c r="C21" s="44">
        <v>4.4390000000000001</v>
      </c>
      <c r="D21" s="44">
        <v>170.914817</v>
      </c>
      <c r="E21" s="44">
        <f t="shared" si="0"/>
        <v>38.503</v>
      </c>
      <c r="F21" s="44" t="s">
        <v>10</v>
      </c>
      <c r="H21">
        <f t="shared" si="1"/>
        <v>-4.4390000000000001</v>
      </c>
      <c r="I21">
        <f t="shared" si="2"/>
        <v>170.914817</v>
      </c>
    </row>
    <row r="22" spans="2:9" x14ac:dyDescent="0.3">
      <c r="B22" s="4">
        <v>45284.512499999997</v>
      </c>
      <c r="C22" s="44">
        <v>0.66700000000000004</v>
      </c>
      <c r="D22" s="44">
        <v>25.68</v>
      </c>
      <c r="E22" s="44">
        <f t="shared" si="0"/>
        <v>38.500749625187403</v>
      </c>
      <c r="F22" s="44" t="s">
        <v>10</v>
      </c>
      <c r="H22">
        <f t="shared" si="1"/>
        <v>-0.66700000000000004</v>
      </c>
      <c r="I22">
        <f t="shared" si="2"/>
        <v>25.68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zoomScale="130" zoomScaleNormal="130" workbookViewId="0">
      <selection activeCell="H18" sqref="H18"/>
    </sheetView>
  </sheetViews>
  <sheetFormatPr defaultRowHeight="14.4" x14ac:dyDescent="0.3"/>
  <cols>
    <col min="2" max="2" width="16.33203125" style="46" bestFit="1" customWidth="1"/>
    <col min="6" max="6" width="6.21875" style="46" bestFit="1" customWidth="1"/>
    <col min="7" max="7" width="11.6640625" style="46" bestFit="1" customWidth="1"/>
  </cols>
  <sheetData>
    <row r="3" spans="2:13" x14ac:dyDescent="0.3">
      <c r="B3" s="64" t="s">
        <v>43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4">
        <v>45223.645833333343</v>
      </c>
      <c r="C5" s="44">
        <v>13.78772238</v>
      </c>
      <c r="D5" s="44">
        <v>50</v>
      </c>
      <c r="E5" s="44">
        <f>D5/C5</f>
        <v>3.6264147639445001</v>
      </c>
      <c r="F5" s="44" t="s">
        <v>8</v>
      </c>
      <c r="G5" s="44" t="s">
        <v>9</v>
      </c>
      <c r="H5">
        <f>IF($F5="BUY",C5,-C5)</f>
        <v>13.78772238</v>
      </c>
      <c r="I5">
        <f>IF($F5="BUY",-D5,D5)</f>
        <v>-50</v>
      </c>
    </row>
    <row r="6" spans="2:13" x14ac:dyDescent="0.3">
      <c r="B6" s="4">
        <v>45264.502083333333</v>
      </c>
      <c r="C6" s="44">
        <v>13.78772238</v>
      </c>
      <c r="D6" s="44">
        <v>70.28</v>
      </c>
      <c r="E6" s="44">
        <f>D6/C6</f>
        <v>5.097288592200389</v>
      </c>
      <c r="F6" s="44" t="s">
        <v>10</v>
      </c>
      <c r="G6" s="44" t="s">
        <v>9</v>
      </c>
      <c r="H6">
        <f>IF($F6="BUY",C6,-C6)</f>
        <v>-13.78772238</v>
      </c>
      <c r="I6">
        <f>IF($F6="BUY",-D6,D6)</f>
        <v>70.28</v>
      </c>
    </row>
    <row r="7" spans="2:13" x14ac:dyDescent="0.3">
      <c r="B7" s="4">
        <v>45264.866666666669</v>
      </c>
      <c r="C7" s="44">
        <v>14.171296849999999</v>
      </c>
      <c r="D7" s="44">
        <v>70.28</v>
      </c>
      <c r="E7" s="44">
        <f>D7/C7</f>
        <v>4.9593202897305764</v>
      </c>
      <c r="F7" s="44" t="s">
        <v>8</v>
      </c>
      <c r="G7" s="44" t="s">
        <v>9</v>
      </c>
      <c r="H7">
        <f>IF($F7="BUY",C7,-C7)</f>
        <v>14.171296849999999</v>
      </c>
      <c r="I7">
        <f>IF($F7="BUY",-D7,D7)</f>
        <v>-70.28</v>
      </c>
    </row>
    <row r="8" spans="2:13" x14ac:dyDescent="0.3">
      <c r="B8" s="4">
        <v>45276.436805555553</v>
      </c>
      <c r="C8" s="44">
        <v>14.171296849999999</v>
      </c>
      <c r="D8" s="44">
        <v>125.57</v>
      </c>
      <c r="E8" s="44">
        <f>D8/C8</f>
        <v>8.8608686508461645</v>
      </c>
      <c r="F8" s="44" t="s">
        <v>10</v>
      </c>
      <c r="G8" s="44" t="s">
        <v>9</v>
      </c>
      <c r="H8">
        <f>IF($F8="BUY",C8,-C8)</f>
        <v>-14.171296849999999</v>
      </c>
      <c r="I8">
        <f>IF($F8="BUY",-D8,D8)</f>
        <v>125.57</v>
      </c>
    </row>
    <row r="9" spans="2:13" x14ac:dyDescent="0.3">
      <c r="B9" s="4">
        <v>45461.861111111109</v>
      </c>
      <c r="C9" s="44">
        <v>15.91</v>
      </c>
      <c r="D9" s="44">
        <v>125.57</v>
      </c>
      <c r="E9" s="44">
        <f>D9/C9</f>
        <v>7.8925204274041478</v>
      </c>
      <c r="F9" s="30" t="s">
        <v>8</v>
      </c>
      <c r="G9" s="44" t="s">
        <v>9</v>
      </c>
      <c r="H9">
        <f>IF($F9="BUY",C9,-C9)</f>
        <v>15.91</v>
      </c>
      <c r="I9">
        <f>IF($F9="BUY",-D9,D9)</f>
        <v>-125.57</v>
      </c>
    </row>
    <row r="10" spans="2:13" x14ac:dyDescent="0.3">
      <c r="B10" s="4"/>
      <c r="C10" s="37"/>
      <c r="D10" s="44"/>
      <c r="E10" s="44"/>
      <c r="F10" s="44"/>
    </row>
    <row r="11" spans="2:13" x14ac:dyDescent="0.3">
      <c r="B11" s="4"/>
      <c r="C11" s="44"/>
      <c r="D11" s="44"/>
      <c r="E11" s="44"/>
      <c r="F11" s="44"/>
    </row>
    <row r="12" spans="2:13" x14ac:dyDescent="0.3">
      <c r="B12" s="4"/>
      <c r="C12" s="44"/>
      <c r="D12" s="44"/>
      <c r="E12" s="44"/>
      <c r="F12" s="44"/>
    </row>
    <row r="13" spans="2:13" x14ac:dyDescent="0.3">
      <c r="B13" s="4"/>
      <c r="C13" s="44"/>
      <c r="D13" s="44"/>
      <c r="E13" s="44"/>
      <c r="F13" s="44"/>
    </row>
    <row r="14" spans="2:13" x14ac:dyDescent="0.3">
      <c r="B14" s="4"/>
      <c r="C14" s="44"/>
      <c r="D14" s="44"/>
      <c r="E14" s="44"/>
      <c r="F14" s="44"/>
    </row>
    <row r="15" spans="2:13" x14ac:dyDescent="0.3">
      <c r="B15" s="4"/>
      <c r="C15" s="44"/>
      <c r="D15" s="44"/>
      <c r="E15" s="44"/>
      <c r="F15" s="44"/>
      <c r="K15" t="s">
        <v>3</v>
      </c>
      <c r="L15" t="s">
        <v>11</v>
      </c>
      <c r="M15" t="s">
        <v>12</v>
      </c>
    </row>
    <row r="16" spans="2:13" x14ac:dyDescent="0.3">
      <c r="B16" s="4"/>
      <c r="C16" s="44"/>
      <c r="D16" s="44"/>
      <c r="E16" s="44"/>
      <c r="F16" s="44"/>
      <c r="K16">
        <f>SUM($H1:$H32)</f>
        <v>15.91</v>
      </c>
      <c r="L16">
        <f>-SUM($I1:$I32)</f>
        <v>50</v>
      </c>
      <c r="M16">
        <f>L16/K16</f>
        <v>3.1426775612822122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4"/>
  <sheetViews>
    <sheetView topLeftCell="A19" zoomScaleNormal="100" workbookViewId="0">
      <selection activeCell="F48" sqref="F48"/>
    </sheetView>
  </sheetViews>
  <sheetFormatPr defaultRowHeight="14.4" x14ac:dyDescent="0.3"/>
  <cols>
    <col min="2" max="2" width="16.21875" style="46" bestFit="1" customWidth="1"/>
    <col min="3" max="3" width="11.33203125" style="46" bestFit="1" customWidth="1"/>
    <col min="4" max="4" width="9.21875" style="46" bestFit="1" customWidth="1"/>
    <col min="5" max="5" width="12.44140625" style="46" bestFit="1" customWidth="1"/>
    <col min="6" max="6" width="15" style="46" bestFit="1" customWidth="1"/>
    <col min="7" max="7" width="11.6640625" style="46" bestFit="1" customWidth="1"/>
    <col min="8" max="8" width="12" style="46" bestFit="1" customWidth="1"/>
  </cols>
  <sheetData>
    <row r="3" spans="1:14" x14ac:dyDescent="0.3">
      <c r="B3" s="64" t="s">
        <v>44</v>
      </c>
      <c r="C3" s="65"/>
      <c r="D3" s="65"/>
      <c r="E3" s="65"/>
      <c r="F3" s="65"/>
    </row>
    <row r="4" spans="1:14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7" t="s">
        <v>7</v>
      </c>
    </row>
    <row r="5" spans="1:14" x14ac:dyDescent="0.3">
      <c r="B5" s="4" t="s">
        <v>45</v>
      </c>
      <c r="C5" s="44">
        <v>1.6220000000000001</v>
      </c>
      <c r="D5" s="44">
        <v>10</v>
      </c>
      <c r="E5" s="44">
        <f t="shared" ref="E5:E21" si="0">D5/C5</f>
        <v>6.1652281134401967</v>
      </c>
      <c r="F5" s="44" t="s">
        <v>8</v>
      </c>
      <c r="G5" s="3" t="s">
        <v>9</v>
      </c>
      <c r="H5">
        <f t="shared" ref="H5:H11" si="1">IF($F5="BUY",C5,-C5)</f>
        <v>1.6220000000000001</v>
      </c>
      <c r="I5">
        <f t="shared" ref="I5:I44" si="2">IF($F5="BUY",-D5,D5)</f>
        <v>-10</v>
      </c>
    </row>
    <row r="6" spans="1:14" x14ac:dyDescent="0.3">
      <c r="B6" s="4">
        <v>44873.900694444441</v>
      </c>
      <c r="C6" s="44">
        <v>1.1160000000000001</v>
      </c>
      <c r="D6" s="44">
        <v>5</v>
      </c>
      <c r="E6" s="44">
        <f t="shared" si="0"/>
        <v>4.4802867383512543</v>
      </c>
      <c r="F6" s="44" t="s">
        <v>8</v>
      </c>
      <c r="G6" s="3" t="s">
        <v>9</v>
      </c>
      <c r="H6">
        <f t="shared" si="1"/>
        <v>1.1160000000000001</v>
      </c>
      <c r="I6">
        <f t="shared" si="2"/>
        <v>-5</v>
      </c>
    </row>
    <row r="7" spans="1:14" x14ac:dyDescent="0.3">
      <c r="B7" s="4">
        <v>44874.350694444453</v>
      </c>
      <c r="C7" s="44">
        <v>1.071</v>
      </c>
      <c r="D7" s="44">
        <v>5</v>
      </c>
      <c r="E7" s="44">
        <f t="shared" si="0"/>
        <v>4.6685340802987865</v>
      </c>
      <c r="F7" s="44" t="s">
        <v>10</v>
      </c>
      <c r="G7" s="3" t="s">
        <v>9</v>
      </c>
      <c r="H7">
        <f t="shared" si="1"/>
        <v>-1.071</v>
      </c>
      <c r="I7">
        <f t="shared" si="2"/>
        <v>5</v>
      </c>
    </row>
    <row r="8" spans="1:14" x14ac:dyDescent="0.3">
      <c r="B8" s="4">
        <v>44874.518750000003</v>
      </c>
      <c r="C8" s="44">
        <v>0.57099999999999995</v>
      </c>
      <c r="D8" s="44">
        <v>2.5</v>
      </c>
      <c r="E8" s="44">
        <f t="shared" si="0"/>
        <v>4.3782837127845884</v>
      </c>
      <c r="F8" s="44" t="s">
        <v>8</v>
      </c>
      <c r="G8" s="3" t="s">
        <v>9</v>
      </c>
      <c r="H8">
        <f t="shared" si="1"/>
        <v>0.57099999999999995</v>
      </c>
      <c r="I8">
        <f t="shared" si="2"/>
        <v>-2.5</v>
      </c>
      <c r="L8" t="s">
        <v>3</v>
      </c>
      <c r="M8" t="s">
        <v>11</v>
      </c>
      <c r="N8" t="s">
        <v>12</v>
      </c>
    </row>
    <row r="9" spans="1:14" x14ac:dyDescent="0.3">
      <c r="B9" s="4">
        <v>44875.039583333331</v>
      </c>
      <c r="C9" s="44">
        <v>2.4</v>
      </c>
      <c r="D9" s="44">
        <v>10</v>
      </c>
      <c r="E9" s="44">
        <f t="shared" si="0"/>
        <v>4.166666666666667</v>
      </c>
      <c r="F9" s="44" t="s">
        <v>8</v>
      </c>
      <c r="G9" s="3" t="s">
        <v>9</v>
      </c>
      <c r="H9">
        <f t="shared" si="1"/>
        <v>2.4</v>
      </c>
      <c r="I9">
        <f t="shared" si="2"/>
        <v>-10</v>
      </c>
      <c r="L9">
        <f>SUM($H$5:$H50)</f>
        <v>56.27608330999999</v>
      </c>
      <c r="M9">
        <f>-SUM(I5:I50)</f>
        <v>221.17617002</v>
      </c>
      <c r="N9">
        <f>M9/L9</f>
        <v>3.9301983544526107</v>
      </c>
    </row>
    <row r="10" spans="1:14" x14ac:dyDescent="0.3">
      <c r="B10" s="4">
        <v>44875.599305555559</v>
      </c>
      <c r="C10" s="44">
        <v>0.58199999999999996</v>
      </c>
      <c r="D10" s="44">
        <v>2.5</v>
      </c>
      <c r="E10" s="44">
        <f t="shared" si="0"/>
        <v>4.2955326460481098</v>
      </c>
      <c r="F10" s="44" t="s">
        <v>8</v>
      </c>
      <c r="G10" s="3" t="s">
        <v>9</v>
      </c>
      <c r="H10">
        <f t="shared" si="1"/>
        <v>0.58199999999999996</v>
      </c>
      <c r="I10">
        <f t="shared" si="2"/>
        <v>-2.5</v>
      </c>
    </row>
    <row r="11" spans="1:14" x14ac:dyDescent="0.3">
      <c r="B11" s="4">
        <v>44879.949305555558</v>
      </c>
      <c r="C11" s="44">
        <v>0.58599999999999997</v>
      </c>
      <c r="D11" s="44">
        <v>2.5</v>
      </c>
      <c r="E11" s="44">
        <f t="shared" si="0"/>
        <v>4.2662116040955631</v>
      </c>
      <c r="F11" s="44" t="s">
        <v>8</v>
      </c>
      <c r="G11" s="3" t="s">
        <v>9</v>
      </c>
      <c r="H11">
        <f t="shared" si="1"/>
        <v>0.58599999999999997</v>
      </c>
      <c r="I11">
        <f t="shared" si="2"/>
        <v>-2.5</v>
      </c>
    </row>
    <row r="12" spans="1:14" x14ac:dyDescent="0.3">
      <c r="B12" s="4">
        <v>44886.879861111112</v>
      </c>
      <c r="C12" s="44">
        <v>3.8039999999999998</v>
      </c>
      <c r="D12" s="44">
        <v>0</v>
      </c>
      <c r="E12" s="44">
        <f t="shared" si="0"/>
        <v>0</v>
      </c>
      <c r="F12" s="44" t="s">
        <v>29</v>
      </c>
      <c r="G12" s="3" t="s">
        <v>9</v>
      </c>
      <c r="H12">
        <v>0</v>
      </c>
      <c r="I12">
        <f t="shared" si="2"/>
        <v>0</v>
      </c>
    </row>
    <row r="13" spans="1:14" x14ac:dyDescent="0.3">
      <c r="B13" s="4">
        <v>44886.928472222222</v>
      </c>
      <c r="C13" s="44">
        <v>1.2070000000000001</v>
      </c>
      <c r="D13" s="44">
        <v>5</v>
      </c>
      <c r="E13" s="44">
        <f t="shared" si="0"/>
        <v>4.1425020712510356</v>
      </c>
      <c r="F13" s="44" t="s">
        <v>8</v>
      </c>
      <c r="G13" s="3" t="s">
        <v>9</v>
      </c>
      <c r="H13">
        <f t="shared" ref="H13:H20" si="3">IF($F13="BUY",C13,-C13)</f>
        <v>1.2070000000000001</v>
      </c>
      <c r="I13">
        <f t="shared" si="2"/>
        <v>-5</v>
      </c>
    </row>
    <row r="14" spans="1:14" x14ac:dyDescent="0.3">
      <c r="B14" s="4">
        <v>44911.638888888891</v>
      </c>
      <c r="C14" s="44">
        <v>1.286</v>
      </c>
      <c r="D14" s="44">
        <v>5</v>
      </c>
      <c r="E14" s="44">
        <f t="shared" si="0"/>
        <v>3.8880248833592534</v>
      </c>
      <c r="F14" s="44" t="s">
        <v>8</v>
      </c>
      <c r="G14" s="3" t="s">
        <v>9</v>
      </c>
      <c r="H14">
        <f t="shared" si="3"/>
        <v>1.286</v>
      </c>
      <c r="I14">
        <f t="shared" si="2"/>
        <v>-5</v>
      </c>
    </row>
    <row r="15" spans="1:14" x14ac:dyDescent="0.3">
      <c r="B15" s="20">
        <v>44912.030555555553</v>
      </c>
      <c r="C15" s="19">
        <v>3.6469999999999998</v>
      </c>
      <c r="D15" s="19">
        <v>10</v>
      </c>
      <c r="E15" s="19">
        <f t="shared" si="0"/>
        <v>2.7419797093501508</v>
      </c>
      <c r="F15" s="19" t="s">
        <v>8</v>
      </c>
      <c r="G15" s="3" t="s">
        <v>9</v>
      </c>
      <c r="H15">
        <f t="shared" si="3"/>
        <v>3.6469999999999998</v>
      </c>
      <c r="I15">
        <f t="shared" si="2"/>
        <v>-10</v>
      </c>
    </row>
    <row r="16" spans="1:14" x14ac:dyDescent="0.3">
      <c r="A16" s="23"/>
      <c r="B16" s="24">
        <v>44912.032743055563</v>
      </c>
      <c r="C16" s="25">
        <v>2.5091000000000001</v>
      </c>
      <c r="D16" s="25">
        <v>7.0126799999999996</v>
      </c>
      <c r="E16" s="25">
        <f t="shared" si="0"/>
        <v>2.7948985692080823</v>
      </c>
      <c r="F16" s="25" t="s">
        <v>8</v>
      </c>
      <c r="G16" s="23" t="s">
        <v>33</v>
      </c>
      <c r="H16">
        <f t="shared" si="3"/>
        <v>2.5091000000000001</v>
      </c>
      <c r="I16">
        <f t="shared" si="2"/>
        <v>-7.0126799999999996</v>
      </c>
    </row>
    <row r="17" spans="1:12" x14ac:dyDescent="0.3">
      <c r="B17" s="20">
        <v>44912.036111111112</v>
      </c>
      <c r="C17" s="19">
        <v>1.7150000000000001</v>
      </c>
      <c r="D17" s="19">
        <v>5</v>
      </c>
      <c r="E17" s="19">
        <f t="shared" si="0"/>
        <v>2.9154518950437316</v>
      </c>
      <c r="F17" s="19" t="s">
        <v>8</v>
      </c>
      <c r="G17" s="3" t="s">
        <v>9</v>
      </c>
      <c r="H17">
        <f t="shared" si="3"/>
        <v>1.7150000000000001</v>
      </c>
      <c r="I17">
        <f t="shared" si="2"/>
        <v>-5</v>
      </c>
    </row>
    <row r="18" spans="1:12" x14ac:dyDescent="0.3">
      <c r="B18" s="20">
        <v>44912.04791666667</v>
      </c>
      <c r="C18" s="19">
        <v>3.3559999999999999</v>
      </c>
      <c r="D18" s="19">
        <v>10</v>
      </c>
      <c r="E18" s="19">
        <f t="shared" si="0"/>
        <v>2.9797377830750893</v>
      </c>
      <c r="F18" s="19" t="s">
        <v>8</v>
      </c>
      <c r="G18" s="3" t="s">
        <v>9</v>
      </c>
      <c r="H18">
        <f t="shared" si="3"/>
        <v>3.3559999999999999</v>
      </c>
      <c r="I18">
        <f t="shared" si="2"/>
        <v>-10</v>
      </c>
    </row>
    <row r="19" spans="1:12" x14ac:dyDescent="0.3">
      <c r="B19" s="21">
        <v>44914.053472222222</v>
      </c>
      <c r="C19" s="22">
        <v>1.6291199999999999</v>
      </c>
      <c r="D19" s="22">
        <v>5</v>
      </c>
      <c r="E19" s="22">
        <f t="shared" si="0"/>
        <v>3.0691416224710273</v>
      </c>
      <c r="F19" s="22" t="s">
        <v>10</v>
      </c>
      <c r="G19" s="3" t="s">
        <v>9</v>
      </c>
      <c r="H19">
        <f t="shared" si="3"/>
        <v>-1.6291199999999999</v>
      </c>
      <c r="I19">
        <f t="shared" si="2"/>
        <v>5</v>
      </c>
    </row>
    <row r="20" spans="1:12" x14ac:dyDescent="0.3">
      <c r="B20" s="21">
        <v>44922.506249999999</v>
      </c>
      <c r="C20" s="22">
        <v>3.06</v>
      </c>
      <c r="D20" s="22">
        <v>10.1</v>
      </c>
      <c r="E20" s="22">
        <f t="shared" si="0"/>
        <v>3.3006535947712417</v>
      </c>
      <c r="F20" s="22" t="s">
        <v>10</v>
      </c>
      <c r="G20" s="3" t="s">
        <v>9</v>
      </c>
      <c r="H20">
        <f t="shared" si="3"/>
        <v>-3.06</v>
      </c>
      <c r="I20">
        <f t="shared" si="2"/>
        <v>10.1</v>
      </c>
      <c r="L20">
        <f>SUM(H5:H28)</f>
        <v>3.0367307299999999</v>
      </c>
    </row>
    <row r="21" spans="1:12" x14ac:dyDescent="0.3">
      <c r="B21" s="4">
        <v>44922.53402777778</v>
      </c>
      <c r="C21" s="44">
        <v>2</v>
      </c>
      <c r="D21" s="44">
        <v>0</v>
      </c>
      <c r="E21" s="44">
        <f t="shared" si="0"/>
        <v>0</v>
      </c>
      <c r="F21" s="44" t="s">
        <v>29</v>
      </c>
      <c r="G21" s="3" t="s">
        <v>9</v>
      </c>
      <c r="H21">
        <v>0</v>
      </c>
      <c r="I21">
        <f t="shared" si="2"/>
        <v>0</v>
      </c>
    </row>
    <row r="22" spans="1:12" x14ac:dyDescent="0.3">
      <c r="B22" s="4">
        <v>44928.649305555547</v>
      </c>
      <c r="C22" s="44">
        <v>3.1444000000000001</v>
      </c>
      <c r="D22" s="44">
        <v>10</v>
      </c>
      <c r="E22" s="44">
        <v>3.18</v>
      </c>
      <c r="F22" s="44" t="s">
        <v>10</v>
      </c>
      <c r="G22" s="3" t="s">
        <v>9</v>
      </c>
      <c r="H22">
        <f t="shared" ref="H22:H28" si="4">IF($F22="BUY",C22,-C22)</f>
        <v>-3.1444000000000001</v>
      </c>
      <c r="I22">
        <f t="shared" si="2"/>
        <v>10</v>
      </c>
    </row>
    <row r="23" spans="1:12" x14ac:dyDescent="0.3">
      <c r="A23" s="23"/>
      <c r="B23" s="24">
        <v>44930.253750000003</v>
      </c>
      <c r="C23" s="25">
        <v>2.5091000000000001</v>
      </c>
      <c r="D23" s="25">
        <v>8.3051209999999998</v>
      </c>
      <c r="E23" s="25">
        <f t="shared" ref="E23:E44" si="5">D23/C23</f>
        <v>3.3099999999999996</v>
      </c>
      <c r="F23" s="25" t="s">
        <v>10</v>
      </c>
      <c r="G23" s="23" t="s">
        <v>33</v>
      </c>
      <c r="H23">
        <f t="shared" si="4"/>
        <v>-2.5091000000000001</v>
      </c>
      <c r="I23">
        <f t="shared" si="2"/>
        <v>8.3051209999999998</v>
      </c>
    </row>
    <row r="24" spans="1:12" x14ac:dyDescent="0.3">
      <c r="B24" s="4">
        <v>44931.332638888889</v>
      </c>
      <c r="C24" s="44">
        <v>1.4285000000000001</v>
      </c>
      <c r="D24" s="44">
        <v>5</v>
      </c>
      <c r="E24" s="44">
        <f t="shared" si="5"/>
        <v>3.5001750087504373</v>
      </c>
      <c r="F24" s="44" t="s">
        <v>10</v>
      </c>
      <c r="G24" s="3" t="s">
        <v>9</v>
      </c>
      <c r="H24">
        <f t="shared" si="4"/>
        <v>-1.4285000000000001</v>
      </c>
      <c r="I24">
        <f t="shared" si="2"/>
        <v>5</v>
      </c>
    </row>
    <row r="25" spans="1:12" x14ac:dyDescent="0.3">
      <c r="B25" s="4">
        <v>44936.061111111107</v>
      </c>
      <c r="C25" s="44">
        <v>1.327</v>
      </c>
      <c r="D25" s="44">
        <v>5</v>
      </c>
      <c r="E25" s="44">
        <f t="shared" si="5"/>
        <v>3.7678975131876413</v>
      </c>
      <c r="F25" s="44" t="s">
        <v>10</v>
      </c>
      <c r="G25" s="3" t="s">
        <v>9</v>
      </c>
      <c r="H25">
        <f t="shared" si="4"/>
        <v>-1.327</v>
      </c>
      <c r="I25">
        <f t="shared" si="2"/>
        <v>5</v>
      </c>
    </row>
    <row r="26" spans="1:12" x14ac:dyDescent="0.3">
      <c r="B26" s="4">
        <v>44931.332638888889</v>
      </c>
      <c r="C26" s="44">
        <v>1.4279999999999999</v>
      </c>
      <c r="D26" s="44">
        <v>5</v>
      </c>
      <c r="E26" s="44">
        <f t="shared" si="5"/>
        <v>3.5014005602240896</v>
      </c>
      <c r="F26" s="44" t="s">
        <v>10</v>
      </c>
      <c r="G26" s="3" t="s">
        <v>9</v>
      </c>
      <c r="H26">
        <f t="shared" si="4"/>
        <v>-1.4279999999999999</v>
      </c>
      <c r="I26">
        <f t="shared" si="2"/>
        <v>5</v>
      </c>
    </row>
    <row r="27" spans="1:12" x14ac:dyDescent="0.3">
      <c r="B27" s="4">
        <v>44936.061111111107</v>
      </c>
      <c r="C27" s="44">
        <v>1.3273999999999999</v>
      </c>
      <c r="D27" s="44">
        <v>5</v>
      </c>
      <c r="E27" s="44">
        <f t="shared" si="5"/>
        <v>3.7667620913063131</v>
      </c>
      <c r="F27" s="44" t="s">
        <v>10</v>
      </c>
      <c r="G27" s="3" t="s">
        <v>9</v>
      </c>
      <c r="H27">
        <f t="shared" si="4"/>
        <v>-1.3273999999999999</v>
      </c>
      <c r="I27">
        <f t="shared" si="2"/>
        <v>5</v>
      </c>
    </row>
    <row r="28" spans="1:12" x14ac:dyDescent="0.3">
      <c r="B28" s="4">
        <v>44974.033333333333</v>
      </c>
      <c r="C28" s="44">
        <v>0.63584927000000002</v>
      </c>
      <c r="D28" s="44">
        <v>3.61</v>
      </c>
      <c r="E28" s="44">
        <f t="shared" si="5"/>
        <v>5.6774461658185116</v>
      </c>
      <c r="F28" s="44" t="s">
        <v>10</v>
      </c>
      <c r="G28" s="3" t="s">
        <v>9</v>
      </c>
      <c r="H28">
        <f t="shared" si="4"/>
        <v>-0.63584927000000002</v>
      </c>
      <c r="I28">
        <f t="shared" si="2"/>
        <v>3.61</v>
      </c>
    </row>
    <row r="29" spans="1:12" x14ac:dyDescent="0.3">
      <c r="B29" s="4">
        <v>44976.540277777778</v>
      </c>
      <c r="C29" s="44">
        <v>1</v>
      </c>
      <c r="D29" s="44">
        <v>0</v>
      </c>
      <c r="E29" s="44">
        <f t="shared" si="5"/>
        <v>0</v>
      </c>
      <c r="F29" s="44" t="s">
        <v>46</v>
      </c>
      <c r="G29" s="3" t="s">
        <v>9</v>
      </c>
      <c r="H29">
        <v>0</v>
      </c>
      <c r="I29">
        <f t="shared" si="2"/>
        <v>0</v>
      </c>
    </row>
    <row r="30" spans="1:12" x14ac:dyDescent="0.3">
      <c r="B30" s="4">
        <v>44976.55</v>
      </c>
      <c r="C30" s="44">
        <v>3.5</v>
      </c>
      <c r="D30" s="44">
        <v>0</v>
      </c>
      <c r="E30" s="44">
        <f t="shared" si="5"/>
        <v>0</v>
      </c>
      <c r="F30" s="44" t="s">
        <v>46</v>
      </c>
      <c r="G30" s="3" t="s">
        <v>9</v>
      </c>
      <c r="H30">
        <v>0</v>
      </c>
      <c r="I30">
        <f t="shared" si="2"/>
        <v>0</v>
      </c>
    </row>
    <row r="31" spans="1:12" x14ac:dyDescent="0.3">
      <c r="B31" s="4">
        <v>44976.585416666669</v>
      </c>
      <c r="C31" s="44">
        <v>3.5</v>
      </c>
      <c r="D31" s="44">
        <v>32.061100000000003</v>
      </c>
      <c r="E31" s="44">
        <f t="shared" si="5"/>
        <v>9.1603142857142874</v>
      </c>
      <c r="F31" s="44" t="s">
        <v>10</v>
      </c>
      <c r="G31" s="3" t="s">
        <v>9</v>
      </c>
      <c r="H31">
        <f t="shared" ref="H31:H44" si="6">IF($F31="BUY",C31,-C31)</f>
        <v>-3.5</v>
      </c>
      <c r="I31">
        <f t="shared" si="2"/>
        <v>32.061100000000003</v>
      </c>
    </row>
    <row r="32" spans="1:12" x14ac:dyDescent="0.3">
      <c r="B32" s="4">
        <v>44981.905555555553</v>
      </c>
      <c r="C32" s="44">
        <v>3.5</v>
      </c>
      <c r="D32" s="44">
        <v>24.1435</v>
      </c>
      <c r="E32" s="44">
        <f t="shared" si="5"/>
        <v>6.8981428571428571</v>
      </c>
      <c r="F32" s="44" t="s">
        <v>8</v>
      </c>
      <c r="G32" s="3" t="s">
        <v>9</v>
      </c>
      <c r="H32">
        <f t="shared" si="6"/>
        <v>3.5</v>
      </c>
      <c r="I32">
        <f t="shared" si="2"/>
        <v>-24.1435</v>
      </c>
    </row>
    <row r="33" spans="2:9" x14ac:dyDescent="0.3">
      <c r="B33" s="4">
        <v>44982.371527777781</v>
      </c>
      <c r="C33" s="18">
        <v>1.1668472700000001</v>
      </c>
      <c r="D33" s="44">
        <v>8</v>
      </c>
      <c r="E33" s="44">
        <f t="shared" si="5"/>
        <v>6.8560815161353545</v>
      </c>
      <c r="F33" s="44" t="s">
        <v>8</v>
      </c>
      <c r="G33" s="3" t="s">
        <v>9</v>
      </c>
      <c r="H33">
        <f t="shared" si="6"/>
        <v>1.1668472700000001</v>
      </c>
      <c r="I33">
        <f t="shared" si="2"/>
        <v>-8</v>
      </c>
    </row>
    <row r="34" spans="2:9" x14ac:dyDescent="0.3">
      <c r="B34" s="4">
        <v>44995.875694444447</v>
      </c>
      <c r="C34" s="44">
        <v>0.68755021999999999</v>
      </c>
      <c r="D34" s="18">
        <v>3.61</v>
      </c>
      <c r="E34" s="44">
        <f t="shared" si="5"/>
        <v>5.2505255543369618</v>
      </c>
      <c r="F34" s="44" t="s">
        <v>8</v>
      </c>
      <c r="G34" s="3" t="s">
        <v>9</v>
      </c>
      <c r="H34">
        <f t="shared" si="6"/>
        <v>0.68755021999999999</v>
      </c>
      <c r="I34">
        <f t="shared" si="2"/>
        <v>-3.61</v>
      </c>
    </row>
    <row r="35" spans="2:9" x14ac:dyDescent="0.3">
      <c r="B35" s="4">
        <v>44999.736805555563</v>
      </c>
      <c r="C35" s="44">
        <v>0.68755021999999999</v>
      </c>
      <c r="D35" s="44">
        <v>4.9587889799999996</v>
      </c>
      <c r="E35" s="44">
        <f t="shared" si="5"/>
        <v>7.2122571351951565</v>
      </c>
      <c r="F35" s="44" t="s">
        <v>10</v>
      </c>
      <c r="G35" s="3" t="s">
        <v>9</v>
      </c>
      <c r="H35">
        <f t="shared" si="6"/>
        <v>-0.68755021999999999</v>
      </c>
      <c r="I35">
        <f t="shared" si="2"/>
        <v>4.9587889799999996</v>
      </c>
    </row>
    <row r="36" spans="2:9" x14ac:dyDescent="0.3">
      <c r="B36" s="4">
        <v>45000.87777777778</v>
      </c>
      <c r="C36" s="44">
        <v>0.88159200000000004</v>
      </c>
      <c r="D36" s="44">
        <v>4.95</v>
      </c>
      <c r="E36" s="44">
        <f t="shared" si="5"/>
        <v>5.6148422399477305</v>
      </c>
      <c r="F36" s="44" t="s">
        <v>8</v>
      </c>
      <c r="G36" s="3" t="s">
        <v>9</v>
      </c>
      <c r="H36">
        <f t="shared" si="6"/>
        <v>0.88159200000000004</v>
      </c>
      <c r="I36">
        <f t="shared" si="2"/>
        <v>-4.95</v>
      </c>
    </row>
    <row r="37" spans="2:9" x14ac:dyDescent="0.3">
      <c r="B37" s="4">
        <v>45002.588194444441</v>
      </c>
      <c r="C37" s="44">
        <v>0.88159200000000004</v>
      </c>
      <c r="D37" s="44">
        <v>5.4749999999999996</v>
      </c>
      <c r="E37" s="44">
        <f t="shared" si="5"/>
        <v>6.2103558108512775</v>
      </c>
      <c r="F37" s="44" t="s">
        <v>10</v>
      </c>
      <c r="G37" s="3" t="s">
        <v>9</v>
      </c>
      <c r="H37">
        <f t="shared" si="6"/>
        <v>-0.88159200000000004</v>
      </c>
      <c r="I37">
        <f t="shared" si="2"/>
        <v>5.4749999999999996</v>
      </c>
    </row>
    <row r="38" spans="2:9" x14ac:dyDescent="0.3">
      <c r="B38" s="4">
        <v>45002.84375</v>
      </c>
      <c r="C38" s="44">
        <v>0.91960666000000002</v>
      </c>
      <c r="D38" s="44">
        <v>5.47</v>
      </c>
      <c r="E38" s="44">
        <f t="shared" si="5"/>
        <v>5.9481952860150011</v>
      </c>
      <c r="F38" s="44" t="s">
        <v>8</v>
      </c>
      <c r="G38" s="3" t="s">
        <v>9</v>
      </c>
      <c r="H38">
        <f t="shared" si="6"/>
        <v>0.91960666000000002</v>
      </c>
      <c r="I38">
        <f t="shared" si="2"/>
        <v>-5.47</v>
      </c>
    </row>
    <row r="39" spans="2:9" x14ac:dyDescent="0.3">
      <c r="B39" s="4">
        <v>45019.328472222223</v>
      </c>
      <c r="C39" s="44">
        <v>5.4883889799999999</v>
      </c>
      <c r="D39" s="44">
        <v>30</v>
      </c>
      <c r="E39" s="44">
        <f t="shared" si="5"/>
        <v>5.4660848765132535</v>
      </c>
      <c r="F39" s="44" t="s">
        <v>8</v>
      </c>
      <c r="G39" s="3" t="s">
        <v>9</v>
      </c>
      <c r="H39">
        <f t="shared" si="6"/>
        <v>5.4883889799999999</v>
      </c>
      <c r="I39">
        <f t="shared" si="2"/>
        <v>-30</v>
      </c>
    </row>
    <row r="40" spans="2:9" x14ac:dyDescent="0.3">
      <c r="B40" s="4">
        <v>45038.986805555563</v>
      </c>
      <c r="C40" s="44">
        <v>3.7793000000000001</v>
      </c>
      <c r="D40" s="44">
        <v>20</v>
      </c>
      <c r="E40" s="44">
        <f t="shared" si="5"/>
        <v>5.2919852882808982</v>
      </c>
      <c r="F40" s="44" t="s">
        <v>8</v>
      </c>
      <c r="G40" s="3" t="s">
        <v>9</v>
      </c>
      <c r="H40">
        <f t="shared" si="6"/>
        <v>3.7793000000000001</v>
      </c>
      <c r="I40">
        <f t="shared" si="2"/>
        <v>-20</v>
      </c>
    </row>
    <row r="41" spans="2:9" x14ac:dyDescent="0.3">
      <c r="B41" s="4">
        <v>45060.512499999997</v>
      </c>
      <c r="C41" s="44">
        <v>6.7756290000000003</v>
      </c>
      <c r="D41" s="44">
        <v>30</v>
      </c>
      <c r="E41" s="44">
        <f t="shared" si="5"/>
        <v>4.427633213093574</v>
      </c>
      <c r="F41" s="44" t="s">
        <v>8</v>
      </c>
      <c r="G41" s="3" t="s">
        <v>9</v>
      </c>
      <c r="H41">
        <f t="shared" si="6"/>
        <v>6.7756290000000003</v>
      </c>
      <c r="I41">
        <f t="shared" si="2"/>
        <v>-30</v>
      </c>
    </row>
    <row r="42" spans="2:9" x14ac:dyDescent="0.3">
      <c r="B42" s="4">
        <v>45066.838888888888</v>
      </c>
      <c r="C42" s="44">
        <v>11.106890999999999</v>
      </c>
      <c r="D42" s="44">
        <v>50</v>
      </c>
      <c r="E42" s="44">
        <f t="shared" si="5"/>
        <v>4.5017097943970104</v>
      </c>
      <c r="F42" s="44" t="s">
        <v>8</v>
      </c>
      <c r="G42" s="3" t="s">
        <v>9</v>
      </c>
      <c r="H42">
        <f t="shared" si="6"/>
        <v>11.106890999999999</v>
      </c>
      <c r="I42">
        <f t="shared" si="2"/>
        <v>-50</v>
      </c>
    </row>
    <row r="43" spans="2:9" x14ac:dyDescent="0.3">
      <c r="B43" s="4">
        <v>45087.370138888888</v>
      </c>
      <c r="C43" s="44">
        <v>7.9662040799999998</v>
      </c>
      <c r="D43" s="44">
        <v>25</v>
      </c>
      <c r="E43" s="44">
        <f t="shared" si="5"/>
        <v>3.1382575375849524</v>
      </c>
      <c r="F43" s="44" t="s">
        <v>8</v>
      </c>
      <c r="G43" s="3" t="s">
        <v>9</v>
      </c>
      <c r="H43">
        <f t="shared" si="6"/>
        <v>7.9662040799999998</v>
      </c>
      <c r="I43">
        <f t="shared" si="2"/>
        <v>-25</v>
      </c>
    </row>
    <row r="44" spans="2:9" x14ac:dyDescent="0.3">
      <c r="B44" s="4">
        <v>45179.96597222222</v>
      </c>
      <c r="C44" s="44">
        <v>16.036485590000002</v>
      </c>
      <c r="D44" s="44">
        <v>50</v>
      </c>
      <c r="E44" s="44">
        <f t="shared" si="5"/>
        <v>3.1178901212107779</v>
      </c>
      <c r="F44" s="44" t="s">
        <v>8</v>
      </c>
      <c r="G44" s="3" t="s">
        <v>9</v>
      </c>
      <c r="H44">
        <f t="shared" si="6"/>
        <v>16.036485590000002</v>
      </c>
      <c r="I44">
        <f t="shared" si="2"/>
        <v>-50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I11"/>
  <sheetViews>
    <sheetView workbookViewId="0">
      <selection activeCell="M12" sqref="M12"/>
    </sheetView>
  </sheetViews>
  <sheetFormatPr defaultRowHeight="14.4" x14ac:dyDescent="0.3"/>
  <cols>
    <col min="3" max="3" width="15.6640625" style="46" bestFit="1" customWidth="1"/>
    <col min="8" max="8" width="11.6640625" style="46" bestFit="1" customWidth="1"/>
    <col min="9" max="9" width="37" style="46" bestFit="1" customWidth="1"/>
  </cols>
  <sheetData>
    <row r="7" spans="3:9" x14ac:dyDescent="0.3">
      <c r="C7" s="62" t="s">
        <v>47</v>
      </c>
      <c r="D7" s="63"/>
      <c r="E7" s="63"/>
      <c r="F7" s="63"/>
      <c r="G7" s="63"/>
    </row>
    <row r="8" spans="3:9" x14ac:dyDescent="0.3">
      <c r="C8" s="44" t="s">
        <v>16</v>
      </c>
      <c r="D8" s="44" t="s">
        <v>3</v>
      </c>
      <c r="E8" s="44" t="s">
        <v>4</v>
      </c>
      <c r="F8" s="44" t="s">
        <v>5</v>
      </c>
      <c r="G8" s="44" t="s">
        <v>6</v>
      </c>
      <c r="H8" s="44" t="s">
        <v>7</v>
      </c>
    </row>
    <row r="9" spans="3:9" x14ac:dyDescent="0.3">
      <c r="C9" s="4">
        <v>45130.589583333327</v>
      </c>
      <c r="D9" s="44">
        <v>31.630135889999998</v>
      </c>
      <c r="E9" s="44">
        <v>10</v>
      </c>
      <c r="F9" s="44">
        <f>E9/D9</f>
        <v>0.31615419025631003</v>
      </c>
      <c r="G9" s="44" t="s">
        <v>8</v>
      </c>
      <c r="H9" s="44" t="s">
        <v>9</v>
      </c>
      <c r="I9" t="s">
        <v>48</v>
      </c>
    </row>
    <row r="10" spans="3:9" x14ac:dyDescent="0.3">
      <c r="C10" s="4">
        <v>45270.650520833333</v>
      </c>
      <c r="D10" s="44">
        <v>26</v>
      </c>
      <c r="E10" s="44">
        <v>15.1744</v>
      </c>
      <c r="F10" s="44">
        <f>E10/D10</f>
        <v>0.58363076923076929</v>
      </c>
      <c r="G10" s="44" t="s">
        <v>10</v>
      </c>
      <c r="H10" s="44" t="s">
        <v>9</v>
      </c>
    </row>
    <row r="11" spans="3:9" x14ac:dyDescent="0.3">
      <c r="C11" s="29"/>
      <c r="D11" s="44">
        <v>5.63</v>
      </c>
      <c r="E11" s="3"/>
      <c r="F11" s="44"/>
      <c r="G11" s="3"/>
      <c r="H11" s="44"/>
      <c r="I11" t="s">
        <v>49</v>
      </c>
    </row>
  </sheetData>
  <mergeCells count="1">
    <mergeCell ref="C7:G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E27" sqref="E27"/>
    </sheetView>
  </sheetViews>
  <sheetFormatPr defaultRowHeight="14.4" x14ac:dyDescent="0.3"/>
  <cols>
    <col min="2" max="2" width="15.6640625" style="46" bestFit="1" customWidth="1"/>
  </cols>
  <sheetData>
    <row r="3" spans="2:13" x14ac:dyDescent="0.3">
      <c r="B3" s="64" t="s">
        <v>50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</row>
    <row r="5" spans="2:13" x14ac:dyDescent="0.3">
      <c r="B5" s="4">
        <v>45008.781087962961</v>
      </c>
      <c r="C5" s="44">
        <v>24.4</v>
      </c>
      <c r="D5" s="44">
        <v>30.9</v>
      </c>
      <c r="E5" s="44">
        <f>D5/C5</f>
        <v>1.2663934426229508</v>
      </c>
      <c r="F5" s="44" t="s">
        <v>8</v>
      </c>
      <c r="H5">
        <f>IF($F5="BUY",C5,-C5)</f>
        <v>24.4</v>
      </c>
      <c r="I5">
        <f>IF($F5="BUY",-D5,D5)</f>
        <v>-30.9</v>
      </c>
    </row>
    <row r="6" spans="2:13" x14ac:dyDescent="0.3">
      <c r="B6" s="4">
        <v>45031.327777777777</v>
      </c>
      <c r="C6" s="44">
        <v>24.375599999999999</v>
      </c>
      <c r="D6" s="44">
        <v>39.93</v>
      </c>
      <c r="E6" s="44">
        <f>D6/C6</f>
        <v>1.6381135233594251</v>
      </c>
      <c r="F6" s="44" t="s">
        <v>10</v>
      </c>
      <c r="H6">
        <f>IF($F6="BUY",C6,-C6)</f>
        <v>-24.375599999999999</v>
      </c>
      <c r="I6">
        <f>IF($F6="BUY",-D6,D6)</f>
        <v>39.93</v>
      </c>
    </row>
    <row r="7" spans="2:13" x14ac:dyDescent="0.3">
      <c r="B7" s="4">
        <v>45032.515972222223</v>
      </c>
      <c r="C7" s="44">
        <v>24.656644</v>
      </c>
      <c r="D7" s="44">
        <v>39.9</v>
      </c>
      <c r="E7" s="44">
        <f>D7/C7</f>
        <v>1.6182250917845915</v>
      </c>
      <c r="F7" s="44" t="s">
        <v>8</v>
      </c>
      <c r="H7">
        <f>IF($F7="BUY",C7,-C7)</f>
        <v>24.656644</v>
      </c>
      <c r="I7">
        <f>IF($F7="BUY",-D7,D7)</f>
        <v>-39.9</v>
      </c>
    </row>
    <row r="8" spans="2:13" x14ac:dyDescent="0.3">
      <c r="B8" s="4">
        <v>45054.875694444447</v>
      </c>
      <c r="C8" s="44">
        <v>27.514700000000001</v>
      </c>
      <c r="D8" s="44">
        <v>30</v>
      </c>
      <c r="E8" s="44">
        <f>D8/C8</f>
        <v>1.0903262619617877</v>
      </c>
      <c r="F8" s="44" t="s">
        <v>8</v>
      </c>
      <c r="H8">
        <f>IF($F8="BUY",C8,-C8)</f>
        <v>27.514700000000001</v>
      </c>
      <c r="I8">
        <f>IF($F8="BUY",-D8,D8)</f>
        <v>-30</v>
      </c>
    </row>
    <row r="9" spans="2:13" x14ac:dyDescent="0.3">
      <c r="B9" s="4"/>
      <c r="C9" s="44"/>
      <c r="D9" s="44"/>
      <c r="E9" s="44"/>
      <c r="F9" s="44"/>
    </row>
    <row r="10" spans="2:13" x14ac:dyDescent="0.3">
      <c r="B10" s="4"/>
      <c r="C10" s="44"/>
      <c r="D10" s="44"/>
      <c r="E10" s="44"/>
      <c r="F10" s="44"/>
    </row>
    <row r="11" spans="2:13" x14ac:dyDescent="0.3">
      <c r="B11" s="4"/>
      <c r="C11" s="44"/>
      <c r="D11" s="44"/>
      <c r="E11" s="44"/>
      <c r="F11" s="44"/>
    </row>
    <row r="12" spans="2:13" x14ac:dyDescent="0.3">
      <c r="B12" s="4"/>
      <c r="C12" s="44"/>
      <c r="D12" s="44"/>
      <c r="E12" s="44"/>
      <c r="F12" s="44"/>
    </row>
    <row r="13" spans="2:13" x14ac:dyDescent="0.3">
      <c r="B13" s="4"/>
      <c r="C13" s="44"/>
      <c r="D13" s="44"/>
      <c r="E13" s="44"/>
      <c r="F13" s="44"/>
    </row>
    <row r="14" spans="2:13" x14ac:dyDescent="0.3">
      <c r="B14" s="4"/>
      <c r="C14" s="44"/>
      <c r="D14" s="44"/>
      <c r="E14" s="44"/>
      <c r="F14" s="44"/>
    </row>
    <row r="15" spans="2:13" x14ac:dyDescent="0.3">
      <c r="B15" s="4"/>
      <c r="C15" s="44"/>
      <c r="D15" s="44"/>
      <c r="E15" s="44"/>
      <c r="F15" s="44"/>
      <c r="K15" t="s">
        <v>3</v>
      </c>
      <c r="L15" t="s">
        <v>11</v>
      </c>
      <c r="M15" t="s">
        <v>12</v>
      </c>
    </row>
    <row r="16" spans="2:13" x14ac:dyDescent="0.3">
      <c r="B16" s="4"/>
      <c r="C16" s="44"/>
      <c r="D16" s="44"/>
      <c r="E16" s="44"/>
      <c r="F16" s="44"/>
      <c r="K16">
        <f>SUM($H1:$H32)</f>
        <v>52.195744000000005</v>
      </c>
      <c r="L16">
        <f>-SUM($I1:$I32)</f>
        <v>60.87</v>
      </c>
      <c r="M16">
        <f>L16/K16</f>
        <v>1.1661870362457136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7"/>
  <sheetViews>
    <sheetView workbookViewId="0">
      <selection activeCell="J28" sqref="J28"/>
    </sheetView>
  </sheetViews>
  <sheetFormatPr defaultRowHeight="14.4" x14ac:dyDescent="0.3"/>
  <cols>
    <col min="2" max="2" width="15.6640625" style="46" bestFit="1" customWidth="1"/>
    <col min="3" max="3" width="12" style="46" bestFit="1" customWidth="1"/>
    <col min="5" max="5" width="12" style="46" bestFit="1" customWidth="1"/>
    <col min="7" max="7" width="11.6640625" style="46" bestFit="1" customWidth="1"/>
    <col min="11" max="11" width="12" style="46" bestFit="1" customWidth="1"/>
    <col min="13" max="13" width="15.77734375" style="46" bestFit="1" customWidth="1"/>
    <col min="14" max="14" width="14.77734375" style="46" bestFit="1" customWidth="1"/>
    <col min="16" max="16" width="20.6640625" style="46" bestFit="1" customWidth="1"/>
  </cols>
  <sheetData>
    <row r="3" spans="2:16" x14ac:dyDescent="0.3">
      <c r="B3" s="64" t="s">
        <v>20</v>
      </c>
      <c r="C3" s="65"/>
      <c r="D3" s="65"/>
      <c r="E3" s="65"/>
      <c r="F3" s="65"/>
    </row>
    <row r="4" spans="2:16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6" x14ac:dyDescent="0.3">
      <c r="B5" s="14" t="s">
        <v>45</v>
      </c>
      <c r="C5" s="15">
        <v>13.2</v>
      </c>
      <c r="D5" s="15">
        <v>20</v>
      </c>
      <c r="E5" s="15">
        <f>D5/C5</f>
        <v>1.5151515151515151</v>
      </c>
      <c r="F5" s="15" t="s">
        <v>8</v>
      </c>
      <c r="G5" s="3" t="s">
        <v>9</v>
      </c>
      <c r="H5">
        <f t="shared" ref="H5:H18" si="0">IF($F5="BUY",C5,-C5)</f>
        <v>13.2</v>
      </c>
      <c r="I5">
        <f t="shared" ref="I5:I27" si="1">IF($F5="BUY",-D5,D5)</f>
        <v>-20</v>
      </c>
    </row>
    <row r="6" spans="2:16" x14ac:dyDescent="0.3">
      <c r="B6" s="4" t="s">
        <v>35</v>
      </c>
      <c r="C6" s="44">
        <v>20</v>
      </c>
      <c r="D6" s="44">
        <v>20</v>
      </c>
      <c r="E6" s="44">
        <f>D6/C6</f>
        <v>1</v>
      </c>
      <c r="F6" s="44" t="s">
        <v>8</v>
      </c>
      <c r="G6" s="3" t="s">
        <v>9</v>
      </c>
      <c r="H6">
        <f t="shared" si="0"/>
        <v>20</v>
      </c>
      <c r="I6">
        <f t="shared" si="1"/>
        <v>-20</v>
      </c>
    </row>
    <row r="7" spans="2:16" x14ac:dyDescent="0.3">
      <c r="B7" s="4" t="s">
        <v>35</v>
      </c>
      <c r="C7">
        <v>8.3334799999999998</v>
      </c>
      <c r="D7" s="44">
        <v>9.5950000000000006</v>
      </c>
      <c r="E7" s="44"/>
      <c r="F7" s="44" t="s">
        <v>8</v>
      </c>
      <c r="G7" s="3" t="s">
        <v>9</v>
      </c>
      <c r="H7">
        <f t="shared" si="0"/>
        <v>8.3334799999999998</v>
      </c>
      <c r="I7">
        <f t="shared" si="1"/>
        <v>-9.5950000000000006</v>
      </c>
    </row>
    <row r="8" spans="2:16" x14ac:dyDescent="0.3">
      <c r="B8" s="4">
        <v>44912</v>
      </c>
      <c r="C8" s="44">
        <v>6.1235999999999997</v>
      </c>
      <c r="D8" s="44">
        <v>5</v>
      </c>
      <c r="E8" s="44">
        <f t="shared" ref="E8:E27" si="2">D8/C8</f>
        <v>0.81651316219217462</v>
      </c>
      <c r="F8" s="44" t="s">
        <v>8</v>
      </c>
      <c r="G8" s="3" t="s">
        <v>9</v>
      </c>
      <c r="H8">
        <f t="shared" si="0"/>
        <v>6.1235999999999997</v>
      </c>
      <c r="I8">
        <f t="shared" si="1"/>
        <v>-5</v>
      </c>
    </row>
    <row r="9" spans="2:16" x14ac:dyDescent="0.3">
      <c r="B9" s="4">
        <v>44915.245138888888</v>
      </c>
      <c r="C9" s="44">
        <v>6.2755139099999999</v>
      </c>
      <c r="D9" s="44">
        <v>5</v>
      </c>
      <c r="E9" s="44">
        <f t="shared" si="2"/>
        <v>0.79674749697112857</v>
      </c>
      <c r="F9" s="44" t="s">
        <v>8</v>
      </c>
      <c r="G9" s="3" t="s">
        <v>9</v>
      </c>
      <c r="H9">
        <f t="shared" si="0"/>
        <v>6.2755139099999999</v>
      </c>
      <c r="I9">
        <f t="shared" si="1"/>
        <v>-5</v>
      </c>
      <c r="K9" t="s">
        <v>3</v>
      </c>
      <c r="L9" t="s">
        <v>11</v>
      </c>
      <c r="M9" t="s">
        <v>12</v>
      </c>
    </row>
    <row r="10" spans="2:16" x14ac:dyDescent="0.3">
      <c r="B10" s="4">
        <v>44925.665972222218</v>
      </c>
      <c r="C10" s="44">
        <v>6.6186738399999996</v>
      </c>
      <c r="D10" s="44">
        <v>5</v>
      </c>
      <c r="E10" s="44">
        <f t="shared" si="2"/>
        <v>0.7554383432195233</v>
      </c>
      <c r="F10" s="44" t="s">
        <v>8</v>
      </c>
      <c r="G10" s="3" t="s">
        <v>9</v>
      </c>
      <c r="H10">
        <f t="shared" si="0"/>
        <v>6.6186738399999996</v>
      </c>
      <c r="I10">
        <f t="shared" si="1"/>
        <v>-5</v>
      </c>
      <c r="K10">
        <f>SUM(H6:H32)</f>
        <v>524.63522001000001</v>
      </c>
      <c r="L10">
        <f>-SUM(I6:I30)</f>
        <v>339.50055199999997</v>
      </c>
      <c r="M10">
        <f>L10/K10</f>
        <v>0.64711734754202888</v>
      </c>
    </row>
    <row r="11" spans="2:16" x14ac:dyDescent="0.3">
      <c r="B11" s="4">
        <v>44935.265277777777</v>
      </c>
      <c r="C11" s="44">
        <v>17.446980780000001</v>
      </c>
      <c r="D11" s="44">
        <v>15</v>
      </c>
      <c r="E11" s="44">
        <f t="shared" si="2"/>
        <v>0.8597476084340594</v>
      </c>
      <c r="F11" s="44" t="s">
        <v>10</v>
      </c>
      <c r="G11" s="3" t="s">
        <v>9</v>
      </c>
      <c r="H11">
        <f t="shared" si="0"/>
        <v>-17.446980780000001</v>
      </c>
      <c r="I11">
        <f t="shared" si="1"/>
        <v>15</v>
      </c>
    </row>
    <row r="12" spans="2:16" x14ac:dyDescent="0.3">
      <c r="B12" s="4">
        <v>44940.218055555553</v>
      </c>
      <c r="C12" s="44">
        <v>9.9042903100000004</v>
      </c>
      <c r="D12" s="44">
        <v>9.5950000000000006</v>
      </c>
      <c r="E12" s="44">
        <f t="shared" si="2"/>
        <v>0.96877208761866351</v>
      </c>
      <c r="F12" s="44" t="s">
        <v>10</v>
      </c>
      <c r="G12" s="3" t="s">
        <v>9</v>
      </c>
      <c r="H12">
        <f t="shared" si="0"/>
        <v>-9.9042903100000004</v>
      </c>
      <c r="I12">
        <f t="shared" si="1"/>
        <v>9.5950000000000006</v>
      </c>
    </row>
    <row r="13" spans="2:16" x14ac:dyDescent="0.3">
      <c r="B13" s="4">
        <v>44973.953310185178</v>
      </c>
      <c r="C13" s="44">
        <v>19.91</v>
      </c>
      <c r="D13" s="44">
        <v>27.649448</v>
      </c>
      <c r="E13" s="3">
        <f t="shared" si="2"/>
        <v>1.3887216474133601</v>
      </c>
      <c r="F13" s="3" t="s">
        <v>10</v>
      </c>
      <c r="G13" s="3" t="s">
        <v>51</v>
      </c>
      <c r="H13">
        <f t="shared" si="0"/>
        <v>-19.91</v>
      </c>
      <c r="I13">
        <f t="shared" si="1"/>
        <v>27.649448</v>
      </c>
    </row>
    <row r="14" spans="2:16" x14ac:dyDescent="0.3">
      <c r="B14" s="4">
        <v>44998.662511574083</v>
      </c>
      <c r="C14" s="44">
        <v>28.180071999999999</v>
      </c>
      <c r="D14" s="44">
        <v>23.95</v>
      </c>
      <c r="E14" s="44">
        <f t="shared" si="2"/>
        <v>0.84989137004334125</v>
      </c>
      <c r="F14" s="7" t="s">
        <v>8</v>
      </c>
      <c r="G14" s="33" t="s">
        <v>51</v>
      </c>
      <c r="H14">
        <f t="shared" si="0"/>
        <v>28.180071999999999</v>
      </c>
      <c r="I14">
        <f t="shared" si="1"/>
        <v>-23.95</v>
      </c>
      <c r="K14" s="55"/>
      <c r="L14" s="55"/>
      <c r="M14" s="55" t="s">
        <v>21</v>
      </c>
      <c r="N14" s="55" t="s">
        <v>8</v>
      </c>
      <c r="O14" s="55" t="s">
        <v>10</v>
      </c>
      <c r="P14" s="55" t="s">
        <v>52</v>
      </c>
    </row>
    <row r="15" spans="2:16" x14ac:dyDescent="0.3">
      <c r="B15" s="4">
        <v>45041.7812037037</v>
      </c>
      <c r="C15" s="44">
        <v>10.5</v>
      </c>
      <c r="D15" s="44">
        <v>10</v>
      </c>
      <c r="E15" s="44">
        <f t="shared" si="2"/>
        <v>0.95238095238095233</v>
      </c>
      <c r="F15" s="44" t="s">
        <v>8</v>
      </c>
      <c r="G15" s="3" t="s">
        <v>9</v>
      </c>
      <c r="H15">
        <f t="shared" si="0"/>
        <v>10.5</v>
      </c>
      <c r="I15">
        <f t="shared" si="1"/>
        <v>-10</v>
      </c>
      <c r="K15" s="55" t="s">
        <v>23</v>
      </c>
      <c r="L15" s="55" t="s">
        <v>24</v>
      </c>
      <c r="M15" s="34">
        <v>150100</v>
      </c>
      <c r="N15" s="55">
        <v>0.5</v>
      </c>
      <c r="O15" s="55">
        <v>1.4</v>
      </c>
      <c r="P15">
        <v>1</v>
      </c>
    </row>
    <row r="16" spans="2:16" x14ac:dyDescent="0.3">
      <c r="B16" s="4">
        <v>45042.306817129633</v>
      </c>
      <c r="C16" s="44">
        <v>10.5</v>
      </c>
      <c r="D16" s="44">
        <v>10.465999999999999</v>
      </c>
      <c r="E16" s="44">
        <f t="shared" si="2"/>
        <v>0.99676190476190474</v>
      </c>
      <c r="F16" s="44" t="s">
        <v>10</v>
      </c>
      <c r="G16" s="3" t="s">
        <v>9</v>
      </c>
      <c r="H16">
        <f t="shared" si="0"/>
        <v>-10.5</v>
      </c>
      <c r="I16">
        <f t="shared" si="1"/>
        <v>10.465999999999999</v>
      </c>
      <c r="K16" s="55"/>
      <c r="L16" s="55" t="s">
        <v>40</v>
      </c>
      <c r="M16" s="55" t="s">
        <v>53</v>
      </c>
      <c r="N16" s="55" t="s">
        <v>54</v>
      </c>
      <c r="O16" s="55">
        <v>10</v>
      </c>
    </row>
    <row r="17" spans="2:9" x14ac:dyDescent="0.3">
      <c r="B17" s="4">
        <v>45048.52920138889</v>
      </c>
      <c r="C17" s="44">
        <v>10.87</v>
      </c>
      <c r="D17" s="44">
        <v>10.46</v>
      </c>
      <c r="E17" s="44">
        <f t="shared" si="2"/>
        <v>0.96228150873965057</v>
      </c>
      <c r="F17" s="44" t="s">
        <v>8</v>
      </c>
      <c r="G17" s="3" t="s">
        <v>9</v>
      </c>
      <c r="H17">
        <f t="shared" si="0"/>
        <v>10.87</v>
      </c>
      <c r="I17">
        <f t="shared" si="1"/>
        <v>-10.46</v>
      </c>
    </row>
    <row r="18" spans="2:9" x14ac:dyDescent="0.3">
      <c r="B18" s="4">
        <v>45057.761805555558</v>
      </c>
      <c r="C18" s="44">
        <v>23.711121599999998</v>
      </c>
      <c r="D18" s="44">
        <v>20</v>
      </c>
      <c r="E18" s="44">
        <f t="shared" si="2"/>
        <v>0.84348603737075012</v>
      </c>
      <c r="F18" s="44" t="s">
        <v>8</v>
      </c>
      <c r="G18" s="3" t="s">
        <v>9</v>
      </c>
      <c r="H18">
        <f t="shared" si="0"/>
        <v>23.711121599999998</v>
      </c>
      <c r="I18">
        <f t="shared" si="1"/>
        <v>-20</v>
      </c>
    </row>
    <row r="19" spans="2:9" x14ac:dyDescent="0.3">
      <c r="B19" s="4">
        <v>45057.763194444437</v>
      </c>
      <c r="C19" s="44">
        <v>34.485264170000001</v>
      </c>
      <c r="D19" s="44">
        <v>0</v>
      </c>
      <c r="E19" s="44">
        <f t="shared" si="2"/>
        <v>0</v>
      </c>
      <c r="F19" s="44" t="s">
        <v>55</v>
      </c>
      <c r="G19" s="3"/>
      <c r="H19">
        <v>0</v>
      </c>
      <c r="I19">
        <f t="shared" si="1"/>
        <v>0</v>
      </c>
    </row>
    <row r="20" spans="2:9" x14ac:dyDescent="0.3">
      <c r="B20" s="4">
        <v>45083.013888888891</v>
      </c>
      <c r="C20" s="44">
        <v>60.046685869999997</v>
      </c>
      <c r="D20" s="44">
        <v>50</v>
      </c>
      <c r="E20" s="44">
        <f t="shared" si="2"/>
        <v>0.8326854226101521</v>
      </c>
      <c r="F20" s="44" t="s">
        <v>8</v>
      </c>
      <c r="G20" s="3" t="s">
        <v>9</v>
      </c>
      <c r="H20">
        <f t="shared" ref="H20:H27" si="3">IF($F20="BUY",C20,-C20)</f>
        <v>60.046685869999997</v>
      </c>
      <c r="I20">
        <f t="shared" si="1"/>
        <v>-50</v>
      </c>
    </row>
    <row r="21" spans="2:9" x14ac:dyDescent="0.3">
      <c r="B21" s="4">
        <v>45084.043749999997</v>
      </c>
      <c r="C21" s="44">
        <v>31.25</v>
      </c>
      <c r="D21" s="44">
        <v>25</v>
      </c>
      <c r="E21" s="44">
        <f t="shared" si="2"/>
        <v>0.8</v>
      </c>
      <c r="F21" s="44" t="s">
        <v>8</v>
      </c>
      <c r="G21" s="3" t="s">
        <v>9</v>
      </c>
      <c r="H21">
        <f t="shared" si="3"/>
        <v>31.25</v>
      </c>
      <c r="I21">
        <f t="shared" si="1"/>
        <v>-25</v>
      </c>
    </row>
    <row r="22" spans="2:9" x14ac:dyDescent="0.3">
      <c r="B22" s="4">
        <v>45085.350694444453</v>
      </c>
      <c r="C22" s="44">
        <v>32.590000000000003</v>
      </c>
      <c r="D22" s="44">
        <v>25</v>
      </c>
      <c r="E22" s="44">
        <f t="shared" si="2"/>
        <v>0.76710647437864365</v>
      </c>
      <c r="F22" s="44" t="s">
        <v>8</v>
      </c>
      <c r="G22" s="3" t="s">
        <v>9</v>
      </c>
      <c r="H22">
        <f t="shared" si="3"/>
        <v>32.590000000000003</v>
      </c>
      <c r="I22">
        <f t="shared" si="1"/>
        <v>-25</v>
      </c>
    </row>
    <row r="23" spans="2:9" x14ac:dyDescent="0.3">
      <c r="B23" s="4">
        <v>45087.370138888888</v>
      </c>
      <c r="C23" s="44">
        <v>41.689399999999999</v>
      </c>
      <c r="D23" s="18">
        <v>25</v>
      </c>
      <c r="E23" s="44">
        <f t="shared" si="2"/>
        <v>0.59967281851022081</v>
      </c>
      <c r="F23" s="44" t="s">
        <v>8</v>
      </c>
      <c r="G23" s="3" t="s">
        <v>9</v>
      </c>
      <c r="H23">
        <f t="shared" si="3"/>
        <v>41.689399999999999</v>
      </c>
      <c r="I23">
        <f t="shared" si="1"/>
        <v>-25</v>
      </c>
    </row>
    <row r="24" spans="2:9" x14ac:dyDescent="0.3">
      <c r="B24" s="4">
        <v>45087.556944444441</v>
      </c>
      <c r="C24" s="44">
        <v>86.891318330000004</v>
      </c>
      <c r="D24" s="44">
        <v>49.805999999999997</v>
      </c>
      <c r="E24" s="44">
        <f t="shared" si="2"/>
        <v>0.57319880693770109</v>
      </c>
      <c r="F24" s="44" t="s">
        <v>8</v>
      </c>
      <c r="G24" s="3" t="s">
        <v>9</v>
      </c>
      <c r="H24">
        <f t="shared" si="3"/>
        <v>86.891318330000004</v>
      </c>
      <c r="I24">
        <f t="shared" si="1"/>
        <v>-49.805999999999997</v>
      </c>
    </row>
    <row r="25" spans="2:9" x14ac:dyDescent="0.3">
      <c r="B25" s="4">
        <v>45102.039583333331</v>
      </c>
      <c r="C25" s="44">
        <v>28.24</v>
      </c>
      <c r="D25" s="44">
        <v>18.399999999999999</v>
      </c>
      <c r="E25" s="44">
        <f t="shared" si="2"/>
        <v>0.65155807365439089</v>
      </c>
      <c r="F25" s="44" t="s">
        <v>8</v>
      </c>
      <c r="G25" s="3" t="s">
        <v>9</v>
      </c>
      <c r="H25">
        <f t="shared" si="3"/>
        <v>28.24</v>
      </c>
      <c r="I25">
        <f t="shared" si="1"/>
        <v>-18.399999999999999</v>
      </c>
    </row>
    <row r="26" spans="2:9" x14ac:dyDescent="0.3">
      <c r="B26" s="4">
        <v>45156.430555555547</v>
      </c>
      <c r="C26" s="44">
        <v>85.690399999999997</v>
      </c>
      <c r="D26" s="44">
        <v>50</v>
      </c>
      <c r="E26" s="44">
        <f t="shared" si="2"/>
        <v>0.58349593420033052</v>
      </c>
      <c r="F26" s="44" t="s">
        <v>8</v>
      </c>
      <c r="G26" s="3" t="s">
        <v>9</v>
      </c>
      <c r="H26">
        <f t="shared" si="3"/>
        <v>85.690399999999997</v>
      </c>
      <c r="I26">
        <f t="shared" si="1"/>
        <v>-50</v>
      </c>
    </row>
    <row r="27" spans="2:9" x14ac:dyDescent="0.3">
      <c r="B27" s="4">
        <v>45179.96597222222</v>
      </c>
      <c r="C27" s="44">
        <v>95.386225550000006</v>
      </c>
      <c r="D27" s="44">
        <v>50</v>
      </c>
      <c r="E27" s="44">
        <f t="shared" si="2"/>
        <v>0.52418469974777193</v>
      </c>
      <c r="F27" s="44" t="s">
        <v>8</v>
      </c>
      <c r="G27" s="3" t="s">
        <v>9</v>
      </c>
      <c r="H27">
        <f t="shared" si="3"/>
        <v>95.386225550000006</v>
      </c>
      <c r="I27">
        <f t="shared" si="1"/>
        <v>-50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19"/>
  <sheetViews>
    <sheetView topLeftCell="B1" zoomScale="115" zoomScaleNormal="115" workbookViewId="0">
      <selection activeCell="G21" sqref="G21"/>
    </sheetView>
  </sheetViews>
  <sheetFormatPr defaultRowHeight="14.4" x14ac:dyDescent="0.3"/>
  <cols>
    <col min="3" max="3" width="15.33203125" style="46" bestFit="1" customWidth="1"/>
    <col min="7" max="7" width="10.21875" style="46" bestFit="1" customWidth="1"/>
    <col min="8" max="8" width="11.6640625" style="46" bestFit="1" customWidth="1"/>
    <col min="13" max="13" width="9.21875" style="46" bestFit="1" customWidth="1"/>
    <col min="14" max="14" width="7.88671875" style="46" bestFit="1" customWidth="1"/>
    <col min="15" max="15" width="11.88671875" style="46" bestFit="1" customWidth="1"/>
  </cols>
  <sheetData>
    <row r="3" spans="3:15" x14ac:dyDescent="0.3">
      <c r="C3" s="64" t="s">
        <v>56</v>
      </c>
      <c r="D3" s="65"/>
      <c r="E3" s="65"/>
      <c r="F3" s="65"/>
      <c r="G3" s="65"/>
    </row>
    <row r="4" spans="3:15" x14ac:dyDescent="0.3">
      <c r="C4" s="44" t="s">
        <v>16</v>
      </c>
      <c r="D4" s="44" t="s">
        <v>3</v>
      </c>
      <c r="E4" s="44" t="s">
        <v>4</v>
      </c>
      <c r="F4" s="44" t="s">
        <v>5</v>
      </c>
      <c r="G4" s="44" t="s">
        <v>6</v>
      </c>
      <c r="H4" s="12" t="s">
        <v>7</v>
      </c>
    </row>
    <row r="5" spans="3:15" x14ac:dyDescent="0.3">
      <c r="C5" s="44" t="s">
        <v>20</v>
      </c>
      <c r="D5" s="44" t="s">
        <v>35</v>
      </c>
      <c r="E5" s="44" t="s">
        <v>35</v>
      </c>
      <c r="F5" s="44" t="s">
        <v>35</v>
      </c>
      <c r="G5" s="44"/>
      <c r="H5" s="12"/>
    </row>
    <row r="6" spans="3:15" x14ac:dyDescent="0.3">
      <c r="C6" s="31">
        <v>44963.483946759261</v>
      </c>
      <c r="D6" s="44">
        <v>3.26</v>
      </c>
      <c r="E6" s="44">
        <v>15</v>
      </c>
      <c r="F6" s="44">
        <f t="shared" ref="F6:F14" si="0">E6/D6</f>
        <v>4.6012269938650308</v>
      </c>
      <c r="G6" s="44" t="s">
        <v>10</v>
      </c>
      <c r="H6" s="44" t="s">
        <v>9</v>
      </c>
      <c r="I6">
        <f t="shared" ref="I6:I14" si="1">IF($G6="BUY",D6,-D6)</f>
        <v>-3.26</v>
      </c>
      <c r="J6">
        <f t="shared" ref="J6:J14" si="2">IF($G6="BUY",-E6,E6)</f>
        <v>15</v>
      </c>
      <c r="M6" t="s">
        <v>3</v>
      </c>
      <c r="N6" t="s">
        <v>11</v>
      </c>
      <c r="O6" t="s">
        <v>12</v>
      </c>
    </row>
    <row r="7" spans="3:15" x14ac:dyDescent="0.3">
      <c r="C7" s="31">
        <v>44970.808333333327</v>
      </c>
      <c r="D7" s="44">
        <v>3.9064000000000001</v>
      </c>
      <c r="E7" s="44">
        <v>15</v>
      </c>
      <c r="F7" s="44">
        <f t="shared" si="0"/>
        <v>3.8398525496620928</v>
      </c>
      <c r="G7" s="44" t="s">
        <v>8</v>
      </c>
      <c r="H7" s="44" t="s">
        <v>9</v>
      </c>
      <c r="I7">
        <f t="shared" si="1"/>
        <v>3.9064000000000001</v>
      </c>
      <c r="J7">
        <f t="shared" si="2"/>
        <v>-15</v>
      </c>
      <c r="M7">
        <f>SUM(I2:I29)</f>
        <v>143.60014219000001</v>
      </c>
      <c r="N7">
        <f>-SUM(J2:J27)</f>
        <v>285.10000000000002</v>
      </c>
      <c r="O7">
        <f>N7/M7</f>
        <v>1.9853740786884384</v>
      </c>
    </row>
    <row r="8" spans="3:15" x14ac:dyDescent="0.3">
      <c r="C8" s="31">
        <v>45021.003472222219</v>
      </c>
      <c r="D8" s="44">
        <v>1.00202781</v>
      </c>
      <c r="E8" s="44"/>
      <c r="F8" s="44">
        <f t="shared" si="0"/>
        <v>0</v>
      </c>
      <c r="G8" s="44" t="s">
        <v>57</v>
      </c>
      <c r="H8" s="44" t="s">
        <v>9</v>
      </c>
      <c r="I8">
        <f t="shared" si="1"/>
        <v>-1.00202781</v>
      </c>
      <c r="J8">
        <f t="shared" si="2"/>
        <v>0</v>
      </c>
    </row>
    <row r="9" spans="3:15" x14ac:dyDescent="0.3">
      <c r="C9" s="31">
        <v>45040.790972222218</v>
      </c>
      <c r="D9" s="44">
        <v>17.247</v>
      </c>
      <c r="E9" s="44">
        <v>50</v>
      </c>
      <c r="F9" s="44">
        <f t="shared" si="0"/>
        <v>2.8990549080999592</v>
      </c>
      <c r="G9" s="44" t="s">
        <v>8</v>
      </c>
      <c r="H9" s="44" t="s">
        <v>9</v>
      </c>
      <c r="I9">
        <f t="shared" si="1"/>
        <v>17.247</v>
      </c>
      <c r="J9">
        <f t="shared" si="2"/>
        <v>-50</v>
      </c>
    </row>
    <row r="10" spans="3:15" x14ac:dyDescent="0.3">
      <c r="C10" s="31">
        <v>45048.806250000001</v>
      </c>
      <c r="D10" s="44">
        <v>19.797999999999998</v>
      </c>
      <c r="E10" s="44">
        <v>50</v>
      </c>
      <c r="F10" s="44">
        <f t="shared" si="0"/>
        <v>2.5255076270330337</v>
      </c>
      <c r="G10" s="44" t="s">
        <v>8</v>
      </c>
      <c r="H10" s="44" t="s">
        <v>9</v>
      </c>
      <c r="I10">
        <f t="shared" si="1"/>
        <v>19.797999999999998</v>
      </c>
      <c r="J10">
        <f t="shared" si="2"/>
        <v>-50</v>
      </c>
    </row>
    <row r="11" spans="3:15" x14ac:dyDescent="0.3">
      <c r="C11" s="31">
        <v>45053.579861111109</v>
      </c>
      <c r="D11" s="44">
        <v>32.863500000000002</v>
      </c>
      <c r="E11" s="44">
        <v>70</v>
      </c>
      <c r="F11" s="44">
        <f t="shared" si="0"/>
        <v>2.1300226695269826</v>
      </c>
      <c r="G11" s="44" t="s">
        <v>8</v>
      </c>
      <c r="H11" s="44" t="s">
        <v>9</v>
      </c>
      <c r="I11">
        <f t="shared" si="1"/>
        <v>32.863500000000002</v>
      </c>
      <c r="J11">
        <f t="shared" si="2"/>
        <v>-70</v>
      </c>
    </row>
    <row r="12" spans="3:15" x14ac:dyDescent="0.3">
      <c r="C12" s="31">
        <v>45071.254861111112</v>
      </c>
      <c r="D12" s="44">
        <v>3.2280000000000002</v>
      </c>
      <c r="E12" s="44">
        <v>5.0999999999999996</v>
      </c>
      <c r="F12" s="44">
        <f t="shared" si="0"/>
        <v>1.5799256505576207</v>
      </c>
      <c r="G12" s="44" t="s">
        <v>8</v>
      </c>
      <c r="H12" s="44" t="s">
        <v>9</v>
      </c>
      <c r="I12">
        <f t="shared" si="1"/>
        <v>3.2280000000000002</v>
      </c>
      <c r="J12">
        <f t="shared" si="2"/>
        <v>-5.0999999999999996</v>
      </c>
    </row>
    <row r="13" spans="3:15" x14ac:dyDescent="0.3">
      <c r="C13" s="31">
        <v>45071.90625</v>
      </c>
      <c r="D13" s="44">
        <v>38.52017</v>
      </c>
      <c r="E13" s="44">
        <v>60</v>
      </c>
      <c r="F13" s="44">
        <f t="shared" si="0"/>
        <v>1.5576255244979449</v>
      </c>
      <c r="G13" s="44" t="s">
        <v>8</v>
      </c>
      <c r="H13" s="44" t="s">
        <v>9</v>
      </c>
      <c r="I13">
        <f t="shared" si="1"/>
        <v>38.52017</v>
      </c>
      <c r="J13">
        <f t="shared" si="2"/>
        <v>-60</v>
      </c>
    </row>
    <row r="14" spans="3:15" x14ac:dyDescent="0.3">
      <c r="C14" s="31">
        <v>45073.487500000003</v>
      </c>
      <c r="D14" s="44">
        <v>32.299100000000003</v>
      </c>
      <c r="E14" s="44">
        <v>50</v>
      </c>
      <c r="F14" s="44">
        <f t="shared" si="0"/>
        <v>1.5480307500828194</v>
      </c>
      <c r="G14" s="44" t="s">
        <v>8</v>
      </c>
      <c r="H14" s="44" t="s">
        <v>9</v>
      </c>
      <c r="I14">
        <f t="shared" si="1"/>
        <v>32.299100000000003</v>
      </c>
      <c r="J14">
        <f t="shared" si="2"/>
        <v>-50</v>
      </c>
    </row>
    <row r="15" spans="3:15" x14ac:dyDescent="0.3">
      <c r="F15" s="43"/>
      <c r="H15" s="43"/>
    </row>
    <row r="16" spans="3:15" x14ac:dyDescent="0.3">
      <c r="F16" s="43"/>
      <c r="H16" s="43"/>
    </row>
    <row r="17" spans="8:8" x14ac:dyDescent="0.3">
      <c r="H17" s="43"/>
    </row>
    <row r="18" spans="8:8" x14ac:dyDescent="0.3">
      <c r="H18" s="43"/>
    </row>
    <row r="19" spans="8:8" x14ac:dyDescent="0.3">
      <c r="H19" s="43"/>
    </row>
  </sheetData>
  <mergeCells count="1">
    <mergeCell ref="C3:G3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zoomScale="130" zoomScaleNormal="130" workbookViewId="0">
      <selection activeCell="K10" sqref="K10:M11"/>
    </sheetView>
  </sheetViews>
  <sheetFormatPr defaultRowHeight="14.4" x14ac:dyDescent="0.3"/>
  <cols>
    <col min="2" max="2" width="15.6640625" style="46" bestFit="1" customWidth="1"/>
    <col min="7" max="7" width="11.88671875" style="46" bestFit="1" customWidth="1"/>
    <col min="8" max="8" width="20.88671875" style="46" customWidth="1"/>
  </cols>
  <sheetData>
    <row r="3" spans="2:13" x14ac:dyDescent="0.3">
      <c r="B3" s="64" t="s">
        <v>58</v>
      </c>
      <c r="C3" s="65"/>
      <c r="D3" s="65"/>
      <c r="E3" s="65"/>
      <c r="F3" s="65"/>
      <c r="G3" s="43"/>
    </row>
    <row r="4" spans="2:13" x14ac:dyDescent="0.3">
      <c r="B4" s="12" t="s">
        <v>16</v>
      </c>
      <c r="C4" s="12" t="s">
        <v>3</v>
      </c>
      <c r="D4" s="12" t="s">
        <v>4</v>
      </c>
      <c r="E4" s="12" t="s">
        <v>5</v>
      </c>
      <c r="F4" s="12" t="s">
        <v>6</v>
      </c>
      <c r="G4" s="55" t="s">
        <v>7</v>
      </c>
    </row>
    <row r="5" spans="2:13" x14ac:dyDescent="0.3">
      <c r="B5" s="12" t="s">
        <v>20</v>
      </c>
      <c r="C5" s="12" t="s">
        <v>35</v>
      </c>
      <c r="D5" s="12" t="s">
        <v>35</v>
      </c>
      <c r="E5" s="12" t="s">
        <v>35</v>
      </c>
      <c r="F5" s="12"/>
      <c r="G5" s="55"/>
    </row>
    <row r="6" spans="2:13" x14ac:dyDescent="0.3">
      <c r="B6" s="4">
        <v>44898.047719907408</v>
      </c>
      <c r="C6" s="12">
        <v>0.71379999999999999</v>
      </c>
      <c r="D6" s="12">
        <v>5</v>
      </c>
      <c r="E6" s="12">
        <f t="shared" ref="E6:E17" si="0">D6/C6</f>
        <v>7.0047632390025214</v>
      </c>
      <c r="F6" s="12" t="s">
        <v>10</v>
      </c>
      <c r="G6" s="44" t="s">
        <v>9</v>
      </c>
      <c r="H6">
        <f t="shared" ref="H6:H17" si="1">IF($F6="BUY",C6,-C6)</f>
        <v>-0.71379999999999999</v>
      </c>
      <c r="I6">
        <f t="shared" ref="I6:I17" si="2">IF($F6="BUY",-D6,D6)</f>
        <v>5</v>
      </c>
    </row>
    <row r="7" spans="2:13" x14ac:dyDescent="0.3">
      <c r="B7" s="4">
        <v>44923.599305555559</v>
      </c>
      <c r="C7" s="12">
        <v>0.71299999999999997</v>
      </c>
      <c r="D7" s="12">
        <v>4.5</v>
      </c>
      <c r="E7" s="12">
        <f t="shared" si="0"/>
        <v>6.3113604488078545</v>
      </c>
      <c r="F7" s="12" t="s">
        <v>8</v>
      </c>
      <c r="G7" s="44" t="s">
        <v>9</v>
      </c>
      <c r="H7">
        <f t="shared" si="1"/>
        <v>0.71299999999999997</v>
      </c>
      <c r="I7">
        <f t="shared" si="2"/>
        <v>-4.5</v>
      </c>
    </row>
    <row r="8" spans="2:13" x14ac:dyDescent="0.3">
      <c r="B8" s="4">
        <v>44935.056250000001</v>
      </c>
      <c r="C8" s="12">
        <v>0.82350000000000001</v>
      </c>
      <c r="D8" s="12">
        <v>7</v>
      </c>
      <c r="E8" s="12">
        <f t="shared" si="0"/>
        <v>8.5003035822707957</v>
      </c>
      <c r="F8" s="12" t="s">
        <v>10</v>
      </c>
      <c r="G8" s="44" t="s">
        <v>9</v>
      </c>
      <c r="H8">
        <f t="shared" si="1"/>
        <v>-0.82350000000000001</v>
      </c>
      <c r="I8">
        <f t="shared" si="2"/>
        <v>7</v>
      </c>
    </row>
    <row r="9" spans="2:13" x14ac:dyDescent="0.3">
      <c r="B9" s="4">
        <v>44940.009722222218</v>
      </c>
      <c r="C9" s="12">
        <v>0.47610000000000002</v>
      </c>
      <c r="D9" s="12">
        <v>5</v>
      </c>
      <c r="E9" s="12">
        <f t="shared" si="0"/>
        <v>10.501995379122032</v>
      </c>
      <c r="F9" s="12" t="s">
        <v>10</v>
      </c>
      <c r="G9" s="44" t="s">
        <v>9</v>
      </c>
      <c r="H9">
        <f t="shared" si="1"/>
        <v>-0.47610000000000002</v>
      </c>
      <c r="I9">
        <f t="shared" si="2"/>
        <v>5</v>
      </c>
    </row>
    <row r="10" spans="2:13" x14ac:dyDescent="0.3">
      <c r="B10" s="4">
        <v>44942.359722222223</v>
      </c>
      <c r="C10" s="12">
        <v>0.52</v>
      </c>
      <c r="D10" s="12">
        <v>5</v>
      </c>
      <c r="E10" s="12">
        <f t="shared" si="0"/>
        <v>9.615384615384615</v>
      </c>
      <c r="F10" s="12" t="s">
        <v>10</v>
      </c>
      <c r="G10" s="44" t="s">
        <v>9</v>
      </c>
      <c r="H10">
        <f t="shared" si="1"/>
        <v>-0.52</v>
      </c>
      <c r="I10">
        <f t="shared" si="2"/>
        <v>5</v>
      </c>
      <c r="K10" t="s">
        <v>3</v>
      </c>
      <c r="L10" t="s">
        <v>11</v>
      </c>
      <c r="M10" t="s">
        <v>12</v>
      </c>
    </row>
    <row r="11" spans="2:13" x14ac:dyDescent="0.3">
      <c r="B11" s="4">
        <v>44948.586111111108</v>
      </c>
      <c r="C11" s="12">
        <v>0.52900000000000003</v>
      </c>
      <c r="D11" s="12">
        <v>5</v>
      </c>
      <c r="E11" s="12">
        <f t="shared" si="0"/>
        <v>9.4517958412098295</v>
      </c>
      <c r="F11" s="12" t="s">
        <v>10</v>
      </c>
      <c r="G11" s="44" t="s">
        <v>9</v>
      </c>
      <c r="H11">
        <f t="shared" si="1"/>
        <v>-0.52900000000000003</v>
      </c>
      <c r="I11">
        <f t="shared" si="2"/>
        <v>5</v>
      </c>
      <c r="K11">
        <f>SUM(H6:H33)</f>
        <v>3.9067395999999999</v>
      </c>
      <c r="L11">
        <f>-SUM(I6:I31)</f>
        <v>8.7853935400000029</v>
      </c>
      <c r="M11">
        <f>L11/K11</f>
        <v>2.2487788896910361</v>
      </c>
    </row>
    <row r="12" spans="2:13" x14ac:dyDescent="0.3">
      <c r="B12" s="4">
        <v>44948.704861111109</v>
      </c>
      <c r="C12" s="12">
        <v>0.38400000000000001</v>
      </c>
      <c r="D12" s="12">
        <v>5</v>
      </c>
      <c r="E12" s="12">
        <f t="shared" si="0"/>
        <v>13.020833333333334</v>
      </c>
      <c r="F12" s="12" t="s">
        <v>10</v>
      </c>
      <c r="G12" s="44" t="s">
        <v>9</v>
      </c>
      <c r="H12">
        <f t="shared" si="1"/>
        <v>-0.38400000000000001</v>
      </c>
      <c r="I12">
        <f t="shared" si="2"/>
        <v>5</v>
      </c>
    </row>
    <row r="13" spans="2:13" x14ac:dyDescent="0.3">
      <c r="B13" s="4">
        <v>44948.936805555553</v>
      </c>
      <c r="C13" s="12">
        <v>0.4415</v>
      </c>
      <c r="D13" s="12">
        <v>5</v>
      </c>
      <c r="E13" s="12">
        <f t="shared" si="0"/>
        <v>11.325028312570781</v>
      </c>
      <c r="F13" s="12" t="s">
        <v>10</v>
      </c>
      <c r="G13" s="44" t="s">
        <v>9</v>
      </c>
      <c r="H13">
        <f t="shared" si="1"/>
        <v>-0.4415</v>
      </c>
      <c r="I13">
        <f t="shared" si="2"/>
        <v>5</v>
      </c>
    </row>
    <row r="14" spans="2:13" x14ac:dyDescent="0.3">
      <c r="B14" s="4">
        <v>44981.907638888893</v>
      </c>
      <c r="C14" s="12">
        <v>0.82550000000000001</v>
      </c>
      <c r="D14" s="12">
        <v>8.1782400000000006</v>
      </c>
      <c r="E14" s="12">
        <f t="shared" si="0"/>
        <v>9.9070139309509386</v>
      </c>
      <c r="F14" s="12" t="s">
        <v>8</v>
      </c>
      <c r="G14" s="44" t="s">
        <v>9</v>
      </c>
      <c r="H14">
        <f t="shared" si="1"/>
        <v>0.82550000000000001</v>
      </c>
      <c r="I14">
        <f t="shared" si="2"/>
        <v>-8.1782400000000006</v>
      </c>
    </row>
    <row r="15" spans="2:13" x14ac:dyDescent="0.3">
      <c r="B15" s="4">
        <v>44993.030555555553</v>
      </c>
      <c r="C15" s="12">
        <v>1.875</v>
      </c>
      <c r="D15" s="12">
        <v>15</v>
      </c>
      <c r="E15" s="44">
        <f t="shared" si="0"/>
        <v>8</v>
      </c>
      <c r="F15" s="12" t="s">
        <v>8</v>
      </c>
      <c r="G15" s="44" t="s">
        <v>9</v>
      </c>
      <c r="H15">
        <f t="shared" si="1"/>
        <v>1.875</v>
      </c>
      <c r="I15">
        <f t="shared" si="2"/>
        <v>-15</v>
      </c>
    </row>
    <row r="16" spans="2:13" x14ac:dyDescent="0.3">
      <c r="B16" s="4">
        <v>44994.956250000003</v>
      </c>
      <c r="C16" s="12">
        <v>1</v>
      </c>
      <c r="D16" s="12">
        <v>7</v>
      </c>
      <c r="E16" s="44">
        <f t="shared" si="0"/>
        <v>7</v>
      </c>
      <c r="F16" s="12" t="s">
        <v>8</v>
      </c>
      <c r="G16" s="44" t="s">
        <v>9</v>
      </c>
      <c r="H16">
        <f t="shared" si="1"/>
        <v>1</v>
      </c>
      <c r="I16">
        <f t="shared" si="2"/>
        <v>-7</v>
      </c>
    </row>
    <row r="17" spans="2:9" x14ac:dyDescent="0.3">
      <c r="B17" s="4">
        <v>44999.738194444442</v>
      </c>
      <c r="C17" s="12">
        <v>1</v>
      </c>
      <c r="D17" s="12">
        <v>8.8928464599999995</v>
      </c>
      <c r="E17" s="12">
        <f t="shared" si="0"/>
        <v>8.8928464599999995</v>
      </c>
      <c r="F17" s="12" t="s">
        <v>10</v>
      </c>
      <c r="G17" s="44" t="s">
        <v>9</v>
      </c>
      <c r="H17">
        <f t="shared" si="1"/>
        <v>-1</v>
      </c>
      <c r="I17">
        <f t="shared" si="2"/>
        <v>8.8928464599999995</v>
      </c>
    </row>
    <row r="18" spans="2:9" x14ac:dyDescent="0.3">
      <c r="B18" s="36" t="s">
        <v>20</v>
      </c>
      <c r="C18" s="3" t="s">
        <v>20</v>
      </c>
      <c r="D18" s="3" t="s">
        <v>20</v>
      </c>
      <c r="E18" s="12" t="s">
        <v>20</v>
      </c>
      <c r="F18" s="12" t="s">
        <v>20</v>
      </c>
      <c r="G18" s="44" t="s">
        <v>9</v>
      </c>
    </row>
    <row r="19" spans="2:9" x14ac:dyDescent="0.3">
      <c r="B19" s="4">
        <v>45222.979166666657</v>
      </c>
      <c r="C19" s="12">
        <v>4.3811396</v>
      </c>
      <c r="D19" s="12">
        <v>20</v>
      </c>
      <c r="E19" s="12">
        <f>D19/C19</f>
        <v>4.565022306068494</v>
      </c>
      <c r="F19" s="12" t="s">
        <v>8</v>
      </c>
      <c r="G19" s="44" t="s">
        <v>9</v>
      </c>
      <c r="H19">
        <f>IF($F19="BUY",C19,-C19)</f>
        <v>4.3811396</v>
      </c>
      <c r="I19">
        <f>IF($F19="BUY",-D19,D19)</f>
        <v>-20</v>
      </c>
    </row>
    <row r="21" spans="2:9" x14ac:dyDescent="0.3">
      <c r="C21" t="s">
        <v>13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7"/>
  <sheetViews>
    <sheetView workbookViewId="0">
      <selection activeCell="I27" sqref="I27"/>
    </sheetView>
  </sheetViews>
  <sheetFormatPr defaultRowHeight="14.4" x14ac:dyDescent="0.3"/>
  <cols>
    <col min="2" max="2" width="14.6640625" style="46" bestFit="1" customWidth="1"/>
    <col min="13" max="13" width="15.77734375" style="46" bestFit="1" customWidth="1"/>
    <col min="14" max="14" width="14.77734375" style="46" customWidth="1"/>
    <col min="16" max="16" width="20.6640625" style="46" bestFit="1" customWidth="1"/>
  </cols>
  <sheetData>
    <row r="3" spans="2:16" x14ac:dyDescent="0.3">
      <c r="B3" s="64" t="s">
        <v>59</v>
      </c>
      <c r="C3" s="65"/>
      <c r="D3" s="65"/>
      <c r="E3" s="65"/>
      <c r="F3" s="65"/>
    </row>
    <row r="4" spans="2:16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</row>
    <row r="5" spans="2:16" x14ac:dyDescent="0.3">
      <c r="B5" s="4">
        <v>45028.350729166668</v>
      </c>
      <c r="C5" s="44">
        <v>129.232</v>
      </c>
      <c r="D5" s="44">
        <v>19.399999999999999</v>
      </c>
      <c r="E5" s="44">
        <f t="shared" ref="E5:E13" si="0">D5/C5</f>
        <v>0.15011761792744829</v>
      </c>
      <c r="F5" s="44" t="s">
        <v>8</v>
      </c>
      <c r="H5">
        <f t="shared" ref="H5:H13" si="1">IF($F5="BUY",C5,-C5)</f>
        <v>129.232</v>
      </c>
      <c r="I5">
        <f t="shared" ref="I5:I13" si="2">IF($F5="BUY",-D5,D5)</f>
        <v>-19.399999999999999</v>
      </c>
      <c r="K5" s="55"/>
      <c r="L5" s="55"/>
      <c r="M5" s="55" t="s">
        <v>60</v>
      </c>
      <c r="N5" s="55" t="s">
        <v>8</v>
      </c>
      <c r="O5" s="55" t="s">
        <v>10</v>
      </c>
      <c r="P5" s="55" t="s">
        <v>52</v>
      </c>
    </row>
    <row r="6" spans="2:16" x14ac:dyDescent="0.3">
      <c r="B6" s="4">
        <v>45032.562395833331</v>
      </c>
      <c r="C6" s="44">
        <v>129.232</v>
      </c>
      <c r="D6" s="44">
        <v>30.65</v>
      </c>
      <c r="E6" s="44">
        <f t="shared" si="0"/>
        <v>0.23717036028228303</v>
      </c>
      <c r="F6" s="44" t="s">
        <v>10</v>
      </c>
      <c r="H6">
        <f t="shared" si="1"/>
        <v>-129.232</v>
      </c>
      <c r="I6">
        <f t="shared" si="2"/>
        <v>30.65</v>
      </c>
      <c r="K6" s="55" t="s">
        <v>23</v>
      </c>
      <c r="L6" s="55" t="s">
        <v>24</v>
      </c>
      <c r="M6" s="55" t="s">
        <v>61</v>
      </c>
      <c r="N6" s="55">
        <v>0.12</v>
      </c>
      <c r="O6" s="55">
        <v>0.25</v>
      </c>
      <c r="P6">
        <v>0.17</v>
      </c>
    </row>
    <row r="7" spans="2:16" x14ac:dyDescent="0.3">
      <c r="B7" s="4">
        <v>45033.97378472222</v>
      </c>
      <c r="C7" s="44">
        <v>130.35</v>
      </c>
      <c r="D7" s="44">
        <v>30.65</v>
      </c>
      <c r="E7" s="44">
        <f t="shared" si="0"/>
        <v>0.2351361718450326</v>
      </c>
      <c r="F7" s="44" t="s">
        <v>8</v>
      </c>
      <c r="H7">
        <f t="shared" si="1"/>
        <v>130.35</v>
      </c>
      <c r="I7">
        <f t="shared" si="2"/>
        <v>-30.65</v>
      </c>
      <c r="K7" s="55"/>
      <c r="L7" s="55" t="s">
        <v>40</v>
      </c>
      <c r="M7" s="55" t="s">
        <v>53</v>
      </c>
      <c r="N7" s="55" t="s">
        <v>54</v>
      </c>
      <c r="O7" s="55">
        <v>4</v>
      </c>
    </row>
    <row r="8" spans="2:16" x14ac:dyDescent="0.3">
      <c r="B8" s="4">
        <v>45036.28125</v>
      </c>
      <c r="C8" s="44">
        <v>130.35</v>
      </c>
      <c r="D8" s="44">
        <v>40.183</v>
      </c>
      <c r="E8" s="44">
        <f t="shared" si="0"/>
        <v>0.30827004219409282</v>
      </c>
      <c r="F8" s="44" t="s">
        <v>10</v>
      </c>
      <c r="H8">
        <f t="shared" si="1"/>
        <v>-130.35</v>
      </c>
      <c r="I8">
        <f t="shared" si="2"/>
        <v>40.183</v>
      </c>
      <c r="K8" s="55"/>
      <c r="L8" s="55"/>
      <c r="M8" s="55"/>
      <c r="N8" s="55"/>
      <c r="O8" s="55"/>
    </row>
    <row r="9" spans="2:16" x14ac:dyDescent="0.3">
      <c r="B9" s="4">
        <v>45037.306944444441</v>
      </c>
      <c r="C9" s="44">
        <v>141.0866</v>
      </c>
      <c r="D9" s="44">
        <v>40.18</v>
      </c>
      <c r="E9" s="44">
        <f t="shared" si="0"/>
        <v>0.28478962566253635</v>
      </c>
      <c r="F9" s="44" t="s">
        <v>8</v>
      </c>
      <c r="H9">
        <f t="shared" si="1"/>
        <v>141.0866</v>
      </c>
      <c r="I9">
        <f t="shared" si="2"/>
        <v>-40.18</v>
      </c>
      <c r="K9" s="55"/>
      <c r="L9" s="55"/>
      <c r="M9" s="55"/>
      <c r="N9" s="55"/>
      <c r="O9" s="55"/>
    </row>
    <row r="10" spans="2:16" x14ac:dyDescent="0.3">
      <c r="B10" s="4">
        <v>45083.013888888891</v>
      </c>
      <c r="C10" s="44">
        <v>189.79505402000001</v>
      </c>
      <c r="D10" s="44">
        <v>30</v>
      </c>
      <c r="E10" s="44">
        <f t="shared" si="0"/>
        <v>0.1580652359720538</v>
      </c>
      <c r="F10" s="44" t="s">
        <v>8</v>
      </c>
      <c r="H10">
        <f t="shared" si="1"/>
        <v>189.79505402000001</v>
      </c>
      <c r="I10">
        <f t="shared" si="2"/>
        <v>-30</v>
      </c>
      <c r="K10" s="55"/>
      <c r="L10" s="55"/>
      <c r="M10" s="55"/>
      <c r="N10" s="55"/>
      <c r="O10" s="55"/>
    </row>
    <row r="11" spans="2:16" x14ac:dyDescent="0.3">
      <c r="B11" s="4">
        <v>45087.370833333327</v>
      </c>
      <c r="C11" s="44">
        <v>206.00829132999999</v>
      </c>
      <c r="D11" s="44">
        <v>25</v>
      </c>
      <c r="E11" s="44">
        <f t="shared" si="0"/>
        <v>0.12135433888897738</v>
      </c>
      <c r="F11" s="44" t="s">
        <v>8</v>
      </c>
      <c r="H11">
        <f t="shared" si="1"/>
        <v>206.00829132999999</v>
      </c>
      <c r="I11">
        <f t="shared" si="2"/>
        <v>-25</v>
      </c>
      <c r="K11" s="55"/>
      <c r="L11" s="55"/>
      <c r="M11" s="55"/>
      <c r="N11" s="55"/>
      <c r="O11" s="55"/>
    </row>
    <row r="12" spans="2:16" x14ac:dyDescent="0.3">
      <c r="B12" s="4">
        <v>45117.900694444441</v>
      </c>
      <c r="C12" s="44">
        <v>268</v>
      </c>
      <c r="D12" s="44">
        <v>46.51</v>
      </c>
      <c r="E12" s="44">
        <f t="shared" si="0"/>
        <v>0.17354477611940297</v>
      </c>
      <c r="F12" s="44" t="s">
        <v>10</v>
      </c>
      <c r="H12">
        <f t="shared" si="1"/>
        <v>-268</v>
      </c>
      <c r="I12">
        <f t="shared" si="2"/>
        <v>46.51</v>
      </c>
    </row>
    <row r="13" spans="2:16" x14ac:dyDescent="0.3">
      <c r="B13" s="4">
        <v>45157.320833333331</v>
      </c>
      <c r="C13" s="44">
        <v>390.92</v>
      </c>
      <c r="D13" s="44">
        <v>46.5</v>
      </c>
      <c r="E13" s="44">
        <f t="shared" si="0"/>
        <v>0.11895016883249769</v>
      </c>
      <c r="F13" s="44" t="s">
        <v>8</v>
      </c>
      <c r="H13">
        <f t="shared" si="1"/>
        <v>390.92</v>
      </c>
      <c r="I13">
        <f t="shared" si="2"/>
        <v>-46.5</v>
      </c>
    </row>
    <row r="14" spans="2:16" x14ac:dyDescent="0.3">
      <c r="B14" s="4"/>
      <c r="C14" s="44"/>
      <c r="D14" s="44"/>
      <c r="E14" s="44"/>
      <c r="F14" s="44"/>
    </row>
    <row r="15" spans="2:16" x14ac:dyDescent="0.3">
      <c r="B15" s="4"/>
      <c r="C15" s="44"/>
      <c r="D15" s="44"/>
      <c r="E15" s="44"/>
      <c r="F15" s="44"/>
    </row>
    <row r="16" spans="2:16" x14ac:dyDescent="0.3">
      <c r="B16" s="4"/>
      <c r="C16" s="44"/>
      <c r="D16" s="44"/>
      <c r="E16" s="44"/>
      <c r="F16" s="44"/>
      <c r="K16" t="s">
        <v>3</v>
      </c>
      <c r="L16" t="s">
        <v>11</v>
      </c>
      <c r="M16" t="s">
        <v>12</v>
      </c>
    </row>
    <row r="17" spans="2:13" x14ac:dyDescent="0.3">
      <c r="B17" s="4"/>
      <c r="C17" s="44"/>
      <c r="D17" s="44"/>
      <c r="E17" s="44"/>
      <c r="F17" s="44"/>
      <c r="K17">
        <f>SUM($H4:$H33)</f>
        <v>659.80994535000013</v>
      </c>
      <c r="L17">
        <f>-SUM($I1:$I33)</f>
        <v>74.387</v>
      </c>
      <c r="M17">
        <f>L17/K17</f>
        <v>0.11274004055901427</v>
      </c>
    </row>
  </sheetData>
  <mergeCells count="1">
    <mergeCell ref="B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topLeftCell="B1" workbookViewId="0">
      <selection activeCell="M9" sqref="M9"/>
    </sheetView>
  </sheetViews>
  <sheetFormatPr defaultRowHeight="14.4" x14ac:dyDescent="0.3"/>
  <cols>
    <col min="2" max="2" width="15.6640625" style="46" bestFit="1" customWidth="1"/>
    <col min="3" max="3" width="12" style="46" bestFit="1" customWidth="1"/>
    <col min="7" max="7" width="11.6640625" style="46" bestFit="1" customWidth="1"/>
  </cols>
  <sheetData>
    <row r="3" spans="2:13" x14ac:dyDescent="0.3">
      <c r="B3" s="64" t="s">
        <v>62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4">
        <v>45156.884722222218</v>
      </c>
      <c r="C5" s="44">
        <v>11.50186257</v>
      </c>
      <c r="D5" s="44">
        <v>50</v>
      </c>
      <c r="E5" s="44">
        <f>D5/C5</f>
        <v>4.3471220157345352</v>
      </c>
      <c r="F5" s="44" t="s">
        <v>8</v>
      </c>
      <c r="G5" s="44" t="s">
        <v>9</v>
      </c>
      <c r="H5">
        <f>IF($F5="BUY",C5,-C5)</f>
        <v>11.50186257</v>
      </c>
      <c r="I5">
        <f>IF($F5="BUY",-D5,D5)</f>
        <v>-50</v>
      </c>
    </row>
    <row r="6" spans="2:13" x14ac:dyDescent="0.3">
      <c r="B6" s="4">
        <v>45164.602777777778</v>
      </c>
      <c r="C6" s="44">
        <v>11.46753668</v>
      </c>
      <c r="D6" s="44">
        <v>48.345770000000002</v>
      </c>
      <c r="E6" s="44">
        <f>D6/C6</f>
        <v>4.2158809994754689</v>
      </c>
      <c r="F6" s="44" t="s">
        <v>8</v>
      </c>
      <c r="G6" s="44" t="s">
        <v>9</v>
      </c>
      <c r="H6">
        <f>IF($F6="BUY",C6,-C6)</f>
        <v>11.46753668</v>
      </c>
      <c r="I6">
        <f>IF($F6="BUY",-D6,D6)</f>
        <v>-48.345770000000002</v>
      </c>
    </row>
    <row r="7" spans="2:13" x14ac:dyDescent="0.3">
      <c r="B7" s="4">
        <v>45249.845833333333</v>
      </c>
      <c r="C7" s="44">
        <v>11.0617</v>
      </c>
      <c r="D7" s="44">
        <v>100</v>
      </c>
      <c r="E7" s="44">
        <f>D7/C7</f>
        <v>9.04020177730367</v>
      </c>
      <c r="F7" s="44" t="s">
        <v>10</v>
      </c>
      <c r="G7" s="44" t="s">
        <v>9</v>
      </c>
      <c r="H7">
        <f>IF($F7="BUY",C7,-C7)</f>
        <v>-11.0617</v>
      </c>
    </row>
    <row r="8" spans="2:13" x14ac:dyDescent="0.3">
      <c r="B8" s="4">
        <v>45252.829444444447</v>
      </c>
      <c r="C8" s="44">
        <v>12.798999999999999</v>
      </c>
      <c r="D8" s="44">
        <v>100</v>
      </c>
      <c r="E8" s="44">
        <f>D8/C8</f>
        <v>7.8131103992499416</v>
      </c>
      <c r="F8" s="44" t="s">
        <v>8</v>
      </c>
      <c r="G8" s="43" t="s">
        <v>63</v>
      </c>
      <c r="H8">
        <f>IF($F8="BUY",C8,-C8)</f>
        <v>12.798999999999999</v>
      </c>
    </row>
    <row r="9" spans="2:13" x14ac:dyDescent="0.3">
      <c r="B9" s="4"/>
      <c r="C9" s="44"/>
      <c r="D9" s="44"/>
      <c r="E9" s="44"/>
      <c r="F9" s="44"/>
    </row>
    <row r="10" spans="2:13" x14ac:dyDescent="0.3">
      <c r="B10" s="4"/>
      <c r="C10" s="44"/>
      <c r="D10" s="44"/>
      <c r="E10" s="44"/>
      <c r="F10" s="44"/>
    </row>
    <row r="11" spans="2:13" x14ac:dyDescent="0.3">
      <c r="B11" s="4"/>
      <c r="C11" s="44"/>
      <c r="D11" s="44"/>
      <c r="E11" s="44"/>
      <c r="F11" s="44"/>
    </row>
    <row r="12" spans="2:13" x14ac:dyDescent="0.3">
      <c r="B12" s="4"/>
      <c r="C12" s="44"/>
      <c r="D12" s="44"/>
      <c r="E12" s="44"/>
      <c r="F12" s="44"/>
    </row>
    <row r="13" spans="2:13" x14ac:dyDescent="0.3">
      <c r="B13" s="4"/>
      <c r="C13" s="44"/>
      <c r="D13" s="44"/>
      <c r="E13" s="44"/>
      <c r="F13" s="44"/>
    </row>
    <row r="14" spans="2:13" x14ac:dyDescent="0.3">
      <c r="B14" s="4"/>
      <c r="C14" s="44"/>
      <c r="D14" s="44"/>
      <c r="E14" s="44"/>
      <c r="F14" s="44"/>
    </row>
    <row r="15" spans="2:13" x14ac:dyDescent="0.3">
      <c r="B15" s="4"/>
      <c r="C15" s="44"/>
      <c r="D15" s="44"/>
      <c r="E15" s="44"/>
      <c r="F15" s="44"/>
      <c r="K15" t="s">
        <v>3</v>
      </c>
      <c r="L15" t="s">
        <v>11</v>
      </c>
      <c r="M15" t="s">
        <v>12</v>
      </c>
    </row>
    <row r="16" spans="2:13" x14ac:dyDescent="0.3">
      <c r="B16" s="4"/>
      <c r="C16" s="44"/>
      <c r="D16" s="44"/>
      <c r="E16" s="44"/>
      <c r="F16" s="44"/>
      <c r="K16">
        <f>SUM($H1:$H32)</f>
        <v>24.70669925</v>
      </c>
      <c r="L16">
        <f>-SUM($I1:$I32)</f>
        <v>98.345770000000002</v>
      </c>
      <c r="M16">
        <f>L16/K16</f>
        <v>3.9805305032804008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M16" sqref="A1:M16"/>
    </sheetView>
  </sheetViews>
  <sheetFormatPr defaultRowHeight="14.4" x14ac:dyDescent="0.3"/>
  <cols>
    <col min="2" max="2" width="15.6640625" style="46" bestFit="1" customWidth="1"/>
    <col min="3" max="3" width="9.33203125" style="46" bestFit="1" customWidth="1"/>
    <col min="7" max="7" width="11.6640625" style="46" bestFit="1" customWidth="1"/>
  </cols>
  <sheetData>
    <row r="3" spans="2:13" x14ac:dyDescent="0.3">
      <c r="B3" s="64" t="s">
        <v>64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4">
        <v>45248.535416666673</v>
      </c>
      <c r="C5" s="44">
        <v>50.428355789999998</v>
      </c>
      <c r="D5">
        <v>19.806313150000001</v>
      </c>
      <c r="E5" s="44">
        <f>D5/C5</f>
        <v>0.39276143034446537</v>
      </c>
      <c r="F5" s="44" t="s">
        <v>8</v>
      </c>
      <c r="G5" s="44" t="s">
        <v>9</v>
      </c>
      <c r="H5">
        <f>IF($F5="BUY",C5,-C5)</f>
        <v>50.428355789999998</v>
      </c>
      <c r="I5">
        <f>IF($F5="BUY",-D5,D5)</f>
        <v>-19.806313150000001</v>
      </c>
    </row>
    <row r="6" spans="2:13" x14ac:dyDescent="0.3">
      <c r="B6" s="4">
        <v>45249.84652777778</v>
      </c>
      <c r="C6" s="44">
        <v>243.46031439999999</v>
      </c>
      <c r="D6">
        <v>100</v>
      </c>
      <c r="E6" s="44">
        <f>D6/C6</f>
        <v>0.41074456116778929</v>
      </c>
      <c r="F6" s="44" t="s">
        <v>8</v>
      </c>
      <c r="G6" s="44" t="s">
        <v>9</v>
      </c>
      <c r="H6">
        <f>IF($F6="BUY",C6,-C6)</f>
        <v>243.46031439999999</v>
      </c>
      <c r="I6">
        <f>IF($F6="BUY",-D6,D6)</f>
        <v>-100</v>
      </c>
    </row>
    <row r="7" spans="2:13" x14ac:dyDescent="0.3">
      <c r="B7" s="4"/>
      <c r="C7" s="44"/>
      <c r="D7" s="44"/>
      <c r="E7" s="44"/>
      <c r="F7" s="44"/>
    </row>
    <row r="8" spans="2:13" x14ac:dyDescent="0.3">
      <c r="B8" s="4"/>
      <c r="C8" s="44"/>
      <c r="D8" s="44"/>
      <c r="E8" s="44"/>
      <c r="F8" s="44"/>
    </row>
    <row r="9" spans="2:13" x14ac:dyDescent="0.3">
      <c r="B9" s="4"/>
      <c r="C9" s="44"/>
      <c r="D9" s="44"/>
      <c r="E9" s="44"/>
      <c r="F9" s="44"/>
    </row>
    <row r="10" spans="2:13" x14ac:dyDescent="0.3">
      <c r="B10" s="4"/>
      <c r="C10" s="44"/>
      <c r="D10" s="44"/>
      <c r="E10" s="44"/>
      <c r="F10" s="44"/>
    </row>
    <row r="11" spans="2:13" x14ac:dyDescent="0.3">
      <c r="B11" s="4"/>
      <c r="C11" s="44"/>
      <c r="D11" s="44"/>
      <c r="E11" s="44"/>
      <c r="F11" s="44"/>
    </row>
    <row r="12" spans="2:13" x14ac:dyDescent="0.3">
      <c r="B12" s="4"/>
      <c r="C12" s="44"/>
      <c r="D12" s="44"/>
      <c r="E12" s="44"/>
      <c r="F12" s="44"/>
    </row>
    <row r="13" spans="2:13" x14ac:dyDescent="0.3">
      <c r="B13" s="4"/>
      <c r="C13" s="44"/>
      <c r="D13" s="44"/>
      <c r="E13" s="44"/>
      <c r="F13" s="44"/>
    </row>
    <row r="14" spans="2:13" x14ac:dyDescent="0.3">
      <c r="B14" s="4"/>
      <c r="C14" s="44"/>
      <c r="D14" s="44"/>
      <c r="E14" s="44"/>
      <c r="F14" s="44"/>
    </row>
    <row r="15" spans="2:13" x14ac:dyDescent="0.3">
      <c r="B15" s="4"/>
      <c r="C15" s="44"/>
      <c r="D15" s="44"/>
      <c r="E15" s="44"/>
      <c r="F15" s="44"/>
      <c r="K15" t="s">
        <v>3</v>
      </c>
      <c r="L15" t="s">
        <v>11</v>
      </c>
      <c r="M15" t="s">
        <v>12</v>
      </c>
    </row>
    <row r="16" spans="2:13" x14ac:dyDescent="0.3">
      <c r="B16" s="4"/>
      <c r="C16" s="44"/>
      <c r="D16" s="44"/>
      <c r="E16" s="44"/>
      <c r="F16" s="44"/>
      <c r="K16">
        <f>SUM($H1:$H32)</f>
        <v>293.88867018999997</v>
      </c>
      <c r="L16">
        <f>-SUM($I1:$I32)</f>
        <v>119.80631314999999</v>
      </c>
      <c r="M16">
        <f>L16/K16</f>
        <v>0.40765883581883178</v>
      </c>
    </row>
  </sheetData>
  <mergeCells count="1">
    <mergeCell ref="B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workbookViewId="0">
      <selection activeCell="E25" sqref="E25"/>
    </sheetView>
  </sheetViews>
  <sheetFormatPr defaultRowHeight="14.4" x14ac:dyDescent="0.3"/>
  <cols>
    <col min="1" max="1" width="36.109375" style="46" customWidth="1"/>
    <col min="2" max="2" width="18.6640625" style="46" customWidth="1"/>
    <col min="3" max="3" width="9.6640625" style="46" customWidth="1"/>
    <col min="7" max="7" width="14.44140625" style="46" customWidth="1"/>
  </cols>
  <sheetData>
    <row r="3" spans="1:13" x14ac:dyDescent="0.3">
      <c r="B3" s="62" t="s">
        <v>65</v>
      </c>
      <c r="C3" s="63"/>
      <c r="D3" s="63"/>
      <c r="E3" s="63"/>
      <c r="F3" s="63"/>
    </row>
    <row r="4" spans="1:13" x14ac:dyDescent="0.3">
      <c r="A4" s="3" t="s">
        <v>66</v>
      </c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1:13" ht="28.8" customHeight="1" x14ac:dyDescent="0.3">
      <c r="A5" s="39" t="s">
        <v>67</v>
      </c>
      <c r="B5" s="4">
        <v>45346.555555555547</v>
      </c>
      <c r="C5" s="40">
        <v>260.8</v>
      </c>
      <c r="D5" s="12">
        <v>241.34399999999999</v>
      </c>
      <c r="E5" s="12">
        <f>D5/C5</f>
        <v>0.92539877300613493</v>
      </c>
      <c r="F5" s="12" t="s">
        <v>8</v>
      </c>
      <c r="G5" s="12" t="s">
        <v>68</v>
      </c>
      <c r="H5" s="55">
        <f>IF($F5="BUY",C5,-C5)</f>
        <v>260.8</v>
      </c>
      <c r="I5" s="55">
        <f>IF($F5="BUY",-D5,D5)</f>
        <v>-241.34399999999999</v>
      </c>
    </row>
    <row r="6" spans="1:13" x14ac:dyDescent="0.3">
      <c r="A6" s="3"/>
      <c r="B6" s="4"/>
      <c r="C6" s="44"/>
      <c r="D6" s="3"/>
      <c r="E6" s="44"/>
      <c r="F6" s="44"/>
      <c r="G6" s="44"/>
    </row>
    <row r="7" spans="1:13" x14ac:dyDescent="0.3">
      <c r="A7" s="3"/>
      <c r="B7" s="4"/>
      <c r="C7" s="44"/>
      <c r="D7" s="44"/>
      <c r="E7" s="44"/>
      <c r="F7" s="44"/>
      <c r="G7" s="3"/>
    </row>
    <row r="8" spans="1:13" x14ac:dyDescent="0.3">
      <c r="B8" s="38"/>
      <c r="C8" s="30"/>
      <c r="D8" s="30"/>
      <c r="E8" s="30"/>
      <c r="F8" s="30"/>
    </row>
    <row r="9" spans="1:13" x14ac:dyDescent="0.3">
      <c r="B9" s="4"/>
      <c r="C9" s="44"/>
      <c r="D9" s="44"/>
      <c r="E9" s="44"/>
      <c r="F9" s="44"/>
    </row>
    <row r="10" spans="1:13" x14ac:dyDescent="0.3">
      <c r="B10" s="4"/>
      <c r="C10" s="44"/>
      <c r="D10" s="44"/>
      <c r="E10" s="44"/>
      <c r="F10" s="44"/>
    </row>
    <row r="11" spans="1:13" x14ac:dyDescent="0.3">
      <c r="B11" s="4"/>
      <c r="C11" s="44"/>
      <c r="D11" s="44"/>
      <c r="E11" s="44"/>
      <c r="F11" s="44"/>
    </row>
    <row r="12" spans="1:13" x14ac:dyDescent="0.3">
      <c r="B12" s="4"/>
      <c r="C12" s="44"/>
      <c r="D12" s="44"/>
      <c r="E12" s="44"/>
      <c r="F12" s="44"/>
    </row>
    <row r="13" spans="1:13" x14ac:dyDescent="0.3">
      <c r="B13" s="4"/>
      <c r="C13" s="44"/>
      <c r="D13" s="44"/>
      <c r="E13" s="44"/>
      <c r="F13" s="44"/>
    </row>
    <row r="14" spans="1:13" x14ac:dyDescent="0.3">
      <c r="B14" s="4"/>
      <c r="C14" s="44"/>
      <c r="D14" s="44"/>
      <c r="E14" s="44"/>
      <c r="F14" s="44"/>
    </row>
    <row r="15" spans="1:13" x14ac:dyDescent="0.3">
      <c r="B15" s="4"/>
      <c r="C15" s="44"/>
      <c r="D15" s="44"/>
      <c r="E15" s="44"/>
      <c r="F15" s="44"/>
      <c r="K15" t="s">
        <v>3</v>
      </c>
      <c r="L15" t="s">
        <v>11</v>
      </c>
      <c r="M15" t="s">
        <v>12</v>
      </c>
    </row>
    <row r="16" spans="1:13" x14ac:dyDescent="0.3">
      <c r="B16" s="4"/>
      <c r="C16" s="44"/>
      <c r="D16" s="44"/>
      <c r="E16" s="44"/>
      <c r="F16" s="44"/>
      <c r="K16">
        <f>SUM($H1:$H32)</f>
        <v>260.8</v>
      </c>
      <c r="L16">
        <f>-SUM($I1:$I32)</f>
        <v>241.34399999999999</v>
      </c>
      <c r="M16">
        <f>L16/K16</f>
        <v>0.92539877300613493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workbookViewId="0">
      <selection activeCell="G27" sqref="G27"/>
    </sheetView>
  </sheetViews>
  <sheetFormatPr defaultRowHeight="14.4" x14ac:dyDescent="0.3"/>
  <cols>
    <col min="1" max="1" width="16" style="46" bestFit="1" customWidth="1"/>
    <col min="2" max="2" width="14.6640625" style="46" bestFit="1" customWidth="1"/>
    <col min="3" max="3" width="12" style="46" bestFit="1" customWidth="1"/>
    <col min="5" max="5" width="12" style="46" bestFit="1" customWidth="1"/>
    <col min="7" max="7" width="12.77734375" style="46" bestFit="1" customWidth="1"/>
  </cols>
  <sheetData>
    <row r="3" spans="1:13" x14ac:dyDescent="0.3">
      <c r="B3" s="62" t="s">
        <v>69</v>
      </c>
      <c r="C3" s="63"/>
      <c r="D3" s="63"/>
      <c r="E3" s="63"/>
      <c r="F3" s="63"/>
    </row>
    <row r="4" spans="1:13" x14ac:dyDescent="0.3">
      <c r="A4" s="3" t="s">
        <v>66</v>
      </c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3"/>
      <c r="I4" s="3"/>
    </row>
    <row r="5" spans="1:13" x14ac:dyDescent="0.3">
      <c r="A5" s="39"/>
      <c r="B5" s="4">
        <v>45388.467361111107</v>
      </c>
      <c r="C5" s="12">
        <v>296958855.08999997</v>
      </c>
      <c r="D5" s="12">
        <v>100</v>
      </c>
      <c r="E5" s="12">
        <f t="shared" ref="E5:E10" si="0">D5/C5</f>
        <v>3.3674698796132138E-7</v>
      </c>
      <c r="F5" s="12" t="s">
        <v>8</v>
      </c>
      <c r="G5" s="12" t="s">
        <v>70</v>
      </c>
      <c r="H5" s="12">
        <f t="shared" ref="H5:H10" si="1">IF($F5="BUY",C5,-C5)</f>
        <v>296958855.08999997</v>
      </c>
      <c r="I5" s="12">
        <f t="shared" ref="I5:I10" si="2">IF($F5="BUY",-D5,D5)</f>
        <v>-100</v>
      </c>
    </row>
    <row r="6" spans="1:13" x14ac:dyDescent="0.3">
      <c r="A6" s="3" t="s">
        <v>71</v>
      </c>
      <c r="B6" s="4">
        <v>45394.804166666669</v>
      </c>
      <c r="C6" s="12">
        <v>165071557.22</v>
      </c>
      <c r="D6" s="12">
        <v>50</v>
      </c>
      <c r="E6" s="12">
        <f t="shared" si="0"/>
        <v>3.0289894178051663E-7</v>
      </c>
      <c r="F6" s="12" t="s">
        <v>8</v>
      </c>
      <c r="G6" s="12" t="s">
        <v>70</v>
      </c>
      <c r="H6" s="12">
        <f t="shared" si="1"/>
        <v>165071557.22</v>
      </c>
      <c r="I6" s="12">
        <f t="shared" si="2"/>
        <v>-50</v>
      </c>
    </row>
    <row r="7" spans="1:13" x14ac:dyDescent="0.3">
      <c r="A7" s="3"/>
      <c r="B7" s="4">
        <v>45418.745833333327</v>
      </c>
      <c r="C7" s="12">
        <v>462030412.30000001</v>
      </c>
      <c r="D7" s="12">
        <v>166.33</v>
      </c>
      <c r="E7" s="12">
        <f t="shared" si="0"/>
        <v>3.5999794726066784E-7</v>
      </c>
      <c r="F7" s="12" t="s">
        <v>10</v>
      </c>
      <c r="G7" s="12" t="s">
        <v>70</v>
      </c>
      <c r="H7" s="12">
        <f t="shared" si="1"/>
        <v>-462030412.30000001</v>
      </c>
      <c r="I7" s="12">
        <f t="shared" si="2"/>
        <v>166.33</v>
      </c>
    </row>
    <row r="8" spans="1:13" ht="15" customHeight="1" x14ac:dyDescent="0.35">
      <c r="A8" s="3"/>
      <c r="B8" s="4">
        <v>45460.902083333327</v>
      </c>
      <c r="C8" s="12">
        <v>66773048</v>
      </c>
      <c r="D8" s="42">
        <v>75</v>
      </c>
      <c r="E8" s="12">
        <f t="shared" si="0"/>
        <v>1.1232076750487712E-6</v>
      </c>
      <c r="F8" s="12" t="s">
        <v>8</v>
      </c>
      <c r="G8" s="12" t="s">
        <v>70</v>
      </c>
      <c r="H8" s="12">
        <f t="shared" si="1"/>
        <v>66773048</v>
      </c>
      <c r="I8" s="12">
        <f t="shared" si="2"/>
        <v>-75</v>
      </c>
    </row>
    <row r="9" spans="1:13" x14ac:dyDescent="0.3">
      <c r="A9" s="3"/>
      <c r="B9" s="4">
        <v>45474.920138888891</v>
      </c>
      <c r="C9" s="41">
        <v>60141077</v>
      </c>
      <c r="D9" s="44">
        <v>50</v>
      </c>
      <c r="E9" s="12">
        <f t="shared" si="0"/>
        <v>8.3137852685943756E-7</v>
      </c>
      <c r="F9" s="12" t="s">
        <v>8</v>
      </c>
      <c r="G9" s="12" t="s">
        <v>70</v>
      </c>
      <c r="H9" s="12">
        <f t="shared" si="1"/>
        <v>60141077</v>
      </c>
      <c r="I9" s="12">
        <f t="shared" si="2"/>
        <v>-50</v>
      </c>
    </row>
    <row r="10" spans="1:13" ht="15" customHeight="1" x14ac:dyDescent="0.35">
      <c r="A10" s="3"/>
      <c r="B10" s="4">
        <v>45484.34375</v>
      </c>
      <c r="C10" s="41">
        <v>92431761</v>
      </c>
      <c r="D10" s="42">
        <v>46</v>
      </c>
      <c r="E10" s="12">
        <f t="shared" si="0"/>
        <v>4.9766443376535902E-7</v>
      </c>
      <c r="F10" s="12" t="s">
        <v>8</v>
      </c>
      <c r="G10" s="12" t="s">
        <v>70</v>
      </c>
      <c r="H10" s="12">
        <f t="shared" si="1"/>
        <v>92431761</v>
      </c>
      <c r="I10" s="12">
        <f t="shared" si="2"/>
        <v>-46</v>
      </c>
    </row>
    <row r="11" spans="1:13" x14ac:dyDescent="0.3">
      <c r="A11" s="3"/>
      <c r="B11" s="4"/>
      <c r="C11" s="44"/>
      <c r="D11" s="44"/>
      <c r="E11" s="44"/>
      <c r="F11" s="44"/>
      <c r="G11" s="3"/>
      <c r="H11" s="3"/>
      <c r="I11" s="3"/>
    </row>
    <row r="12" spans="1:13" x14ac:dyDescent="0.3">
      <c r="A12" s="3"/>
      <c r="B12" s="4"/>
      <c r="C12" s="44"/>
      <c r="D12" s="44"/>
      <c r="E12" s="44"/>
      <c r="F12" s="44"/>
      <c r="G12" s="3"/>
      <c r="H12" s="3"/>
      <c r="I12" s="3"/>
    </row>
    <row r="13" spans="1:13" x14ac:dyDescent="0.3">
      <c r="A13" s="3"/>
      <c r="B13" s="4"/>
      <c r="C13" s="44"/>
      <c r="D13" s="44"/>
      <c r="E13" s="44"/>
      <c r="F13" s="44"/>
      <c r="G13" s="3"/>
      <c r="H13" s="3"/>
      <c r="I13" s="3"/>
    </row>
    <row r="14" spans="1:13" x14ac:dyDescent="0.3">
      <c r="A14" s="3"/>
      <c r="B14" s="4"/>
      <c r="C14" s="44"/>
      <c r="D14" s="44"/>
      <c r="E14" s="44"/>
      <c r="F14" s="44"/>
      <c r="G14" s="3"/>
      <c r="H14" s="3"/>
      <c r="I14" s="3"/>
    </row>
    <row r="15" spans="1:13" x14ac:dyDescent="0.3">
      <c r="A15" s="3"/>
      <c r="B15" s="4"/>
      <c r="C15" s="44"/>
      <c r="D15" s="44"/>
      <c r="E15" s="44"/>
      <c r="F15" s="44"/>
      <c r="G15" s="3"/>
      <c r="H15" s="3"/>
      <c r="I15" s="3"/>
      <c r="K15" t="s">
        <v>3</v>
      </c>
      <c r="L15" t="s">
        <v>11</v>
      </c>
      <c r="M15" t="s">
        <v>12</v>
      </c>
    </row>
    <row r="16" spans="1:13" x14ac:dyDescent="0.3">
      <c r="A16" s="3"/>
      <c r="B16" s="4"/>
      <c r="C16" s="44"/>
      <c r="D16" s="44"/>
      <c r="E16" s="44"/>
      <c r="F16" s="44"/>
      <c r="G16" s="3"/>
      <c r="H16" s="3"/>
      <c r="I16" s="3"/>
      <c r="K16">
        <f>SUM($H1:$H32)</f>
        <v>219345886.00999993</v>
      </c>
      <c r="L16">
        <f>-SUM($I1:$I32)</f>
        <v>154.66999999999999</v>
      </c>
      <c r="M16">
        <f>L16/K16</f>
        <v>7.0514201480372698E-7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4"/>
  <sheetViews>
    <sheetView workbookViewId="0">
      <selection activeCell="I17" sqref="I17"/>
    </sheetView>
  </sheetViews>
  <sheetFormatPr defaultRowHeight="14.4" x14ac:dyDescent="0.3"/>
  <cols>
    <col min="1" max="1" width="17.88671875" style="46" bestFit="1" customWidth="1"/>
  </cols>
  <sheetData>
    <row r="4" spans="1:17" x14ac:dyDescent="0.3">
      <c r="A4" s="16" t="s">
        <v>72</v>
      </c>
      <c r="B4" s="17" t="s">
        <v>31</v>
      </c>
      <c r="C4" s="17" t="s">
        <v>73</v>
      </c>
      <c r="D4" s="17" t="s">
        <v>44</v>
      </c>
      <c r="E4" s="17" t="s">
        <v>28</v>
      </c>
      <c r="F4" s="17" t="s">
        <v>74</v>
      </c>
      <c r="G4" s="17" t="s">
        <v>0</v>
      </c>
      <c r="H4" s="17" t="s">
        <v>56</v>
      </c>
      <c r="I4" s="17" t="s">
        <v>15</v>
      </c>
      <c r="J4" s="17" t="s">
        <v>19</v>
      </c>
      <c r="K4" s="17" t="s">
        <v>75</v>
      </c>
      <c r="L4" s="17" t="s">
        <v>76</v>
      </c>
      <c r="M4" s="17" t="s">
        <v>77</v>
      </c>
      <c r="N4" s="17" t="s">
        <v>78</v>
      </c>
      <c r="O4" s="17" t="s">
        <v>36</v>
      </c>
      <c r="P4" s="17" t="s">
        <v>79</v>
      </c>
      <c r="Q4" s="17" t="s">
        <v>58</v>
      </c>
    </row>
    <row r="5" spans="1:17" x14ac:dyDescent="0.3">
      <c r="A5" s="16" t="s">
        <v>80</v>
      </c>
      <c r="B5" s="12">
        <v>3.4</v>
      </c>
      <c r="C5" s="12">
        <v>24</v>
      </c>
      <c r="D5" s="12">
        <v>13.37</v>
      </c>
      <c r="E5" s="12">
        <v>4</v>
      </c>
      <c r="F5" s="12">
        <v>410</v>
      </c>
      <c r="G5" s="12">
        <v>478</v>
      </c>
      <c r="H5" s="12">
        <v>31</v>
      </c>
      <c r="I5" s="12">
        <v>9.35</v>
      </c>
      <c r="J5" s="12">
        <v>170</v>
      </c>
      <c r="K5" s="12">
        <v>500</v>
      </c>
      <c r="L5" s="12">
        <v>0.1</v>
      </c>
      <c r="M5" s="12">
        <v>0</v>
      </c>
      <c r="N5" s="12">
        <v>761</v>
      </c>
      <c r="O5" s="12">
        <v>2.5659999999999998</v>
      </c>
      <c r="P5" s="44">
        <v>350</v>
      </c>
      <c r="Q5" s="44">
        <v>4.62</v>
      </c>
    </row>
    <row r="6" spans="1:17" x14ac:dyDescent="0.3">
      <c r="A6" s="16" t="s">
        <v>81</v>
      </c>
      <c r="B6" s="12">
        <v>20</v>
      </c>
      <c r="C6" s="12">
        <v>300</v>
      </c>
      <c r="D6" s="12">
        <v>20</v>
      </c>
      <c r="E6" s="12">
        <v>10</v>
      </c>
      <c r="F6" s="12">
        <v>150</v>
      </c>
      <c r="G6" s="12">
        <v>1000</v>
      </c>
      <c r="H6" s="12">
        <f>18+7.5+5.5</f>
        <v>31</v>
      </c>
      <c r="I6" s="12">
        <v>20</v>
      </c>
      <c r="J6" s="12">
        <v>200</v>
      </c>
      <c r="K6" s="12">
        <v>500</v>
      </c>
      <c r="L6" s="12">
        <v>0.1</v>
      </c>
      <c r="M6" s="12">
        <v>50</v>
      </c>
      <c r="N6" s="12">
        <v>2000</v>
      </c>
      <c r="O6" s="12">
        <v>10</v>
      </c>
      <c r="P6" s="44">
        <v>350</v>
      </c>
      <c r="Q6" s="44">
        <v>4.5</v>
      </c>
    </row>
    <row r="7" spans="1:17" x14ac:dyDescent="0.3">
      <c r="A7" s="16" t="s">
        <v>82</v>
      </c>
      <c r="B7" s="12">
        <v>20</v>
      </c>
      <c r="C7" s="12">
        <v>1</v>
      </c>
      <c r="D7" s="12">
        <v>5</v>
      </c>
      <c r="E7" s="12">
        <v>18</v>
      </c>
      <c r="F7" s="12">
        <v>0.25</v>
      </c>
      <c r="G7" s="12">
        <v>2.5000000000000001E-2</v>
      </c>
      <c r="H7" s="12">
        <v>5</v>
      </c>
      <c r="I7" s="12">
        <v>6</v>
      </c>
      <c r="J7" s="12">
        <v>0.2</v>
      </c>
      <c r="K7" s="12">
        <v>0.2</v>
      </c>
      <c r="L7" s="12">
        <v>280</v>
      </c>
      <c r="M7" s="12">
        <v>1</v>
      </c>
      <c r="N7" s="12">
        <v>0.05</v>
      </c>
      <c r="O7" s="12">
        <v>10</v>
      </c>
      <c r="P7" s="44">
        <v>0.71419999999999995</v>
      </c>
      <c r="Q7" s="44">
        <v>25</v>
      </c>
    </row>
    <row r="8" spans="1:17" x14ac:dyDescent="0.3">
      <c r="A8" s="16" t="s">
        <v>83</v>
      </c>
      <c r="B8" s="12">
        <f t="shared" ref="B8:Q8" si="0">B6*B7</f>
        <v>400</v>
      </c>
      <c r="C8" s="12">
        <f t="shared" si="0"/>
        <v>300</v>
      </c>
      <c r="D8" s="12">
        <f t="shared" si="0"/>
        <v>100</v>
      </c>
      <c r="E8" s="12">
        <f t="shared" si="0"/>
        <v>180</v>
      </c>
      <c r="F8" s="12">
        <f t="shared" si="0"/>
        <v>37.5</v>
      </c>
      <c r="G8" s="12">
        <f t="shared" si="0"/>
        <v>25</v>
      </c>
      <c r="H8" s="12">
        <f t="shared" si="0"/>
        <v>155</v>
      </c>
      <c r="I8" s="12">
        <f t="shared" si="0"/>
        <v>120</v>
      </c>
      <c r="J8" s="12">
        <f t="shared" si="0"/>
        <v>40</v>
      </c>
      <c r="K8" s="12">
        <f t="shared" si="0"/>
        <v>100</v>
      </c>
      <c r="L8" s="12">
        <f t="shared" si="0"/>
        <v>28</v>
      </c>
      <c r="M8" s="12">
        <f t="shared" si="0"/>
        <v>50</v>
      </c>
      <c r="N8" s="12">
        <f t="shared" si="0"/>
        <v>100</v>
      </c>
      <c r="O8" s="12">
        <f t="shared" si="0"/>
        <v>100</v>
      </c>
      <c r="P8" s="12">
        <f t="shared" si="0"/>
        <v>249.96999999999997</v>
      </c>
      <c r="Q8" s="12">
        <f t="shared" si="0"/>
        <v>112.5</v>
      </c>
    </row>
    <row r="9" spans="1:17" x14ac:dyDescent="0.3">
      <c r="A9" s="16" t="s">
        <v>84</v>
      </c>
      <c r="B9" s="12">
        <f t="shared" ref="B9:Q9" si="1">(B6-B5)*B7</f>
        <v>332</v>
      </c>
      <c r="C9" s="12">
        <f t="shared" si="1"/>
        <v>276</v>
      </c>
      <c r="D9" s="12">
        <f t="shared" si="1"/>
        <v>33.150000000000006</v>
      </c>
      <c r="E9" s="12">
        <f t="shared" si="1"/>
        <v>108</v>
      </c>
      <c r="F9" s="12">
        <f t="shared" si="1"/>
        <v>-65</v>
      </c>
      <c r="G9" s="12">
        <f t="shared" si="1"/>
        <v>13.05</v>
      </c>
      <c r="H9" s="12">
        <f t="shared" si="1"/>
        <v>0</v>
      </c>
      <c r="I9" s="12">
        <f t="shared" si="1"/>
        <v>63.900000000000006</v>
      </c>
      <c r="J9" s="12">
        <f t="shared" si="1"/>
        <v>6</v>
      </c>
      <c r="K9" s="12">
        <f t="shared" si="1"/>
        <v>0</v>
      </c>
      <c r="L9" s="12">
        <f t="shared" si="1"/>
        <v>0</v>
      </c>
      <c r="M9" s="12">
        <f t="shared" si="1"/>
        <v>50</v>
      </c>
      <c r="N9" s="12">
        <f t="shared" si="1"/>
        <v>61.95</v>
      </c>
      <c r="O9" s="12">
        <f t="shared" si="1"/>
        <v>74.34</v>
      </c>
      <c r="P9" s="12">
        <f t="shared" si="1"/>
        <v>0</v>
      </c>
      <c r="Q9" s="12">
        <f t="shared" si="1"/>
        <v>-3.0000000000000027</v>
      </c>
    </row>
    <row r="10" spans="1:17" x14ac:dyDescent="0.3">
      <c r="A10" s="16" t="s">
        <v>85</v>
      </c>
      <c r="B10" s="12">
        <v>200</v>
      </c>
      <c r="C10" s="12">
        <v>10</v>
      </c>
      <c r="D10" s="12">
        <v>100</v>
      </c>
      <c r="E10" s="12">
        <v>200</v>
      </c>
      <c r="F10" s="12">
        <v>4</v>
      </c>
      <c r="G10" s="12">
        <v>1</v>
      </c>
      <c r="H10" s="12">
        <v>30</v>
      </c>
      <c r="I10" s="12">
        <v>50</v>
      </c>
      <c r="J10" s="12">
        <v>3</v>
      </c>
      <c r="K10" s="12">
        <v>2</v>
      </c>
      <c r="L10" s="12">
        <v>1000</v>
      </c>
      <c r="M10" s="12">
        <v>20</v>
      </c>
      <c r="N10" s="12">
        <v>1</v>
      </c>
      <c r="O10" s="44">
        <v>150</v>
      </c>
      <c r="P10" s="44">
        <v>10</v>
      </c>
      <c r="Q10" s="44">
        <v>40</v>
      </c>
    </row>
    <row r="11" spans="1:17" x14ac:dyDescent="0.3">
      <c r="A11" s="16" t="s">
        <v>86</v>
      </c>
      <c r="B11" s="12">
        <f t="shared" ref="B11:Q11" si="2">B10*B5</f>
        <v>680</v>
      </c>
      <c r="C11" s="12">
        <f t="shared" si="2"/>
        <v>240</v>
      </c>
      <c r="D11" s="12">
        <f t="shared" si="2"/>
        <v>1337</v>
      </c>
      <c r="E11" s="12">
        <f t="shared" si="2"/>
        <v>800</v>
      </c>
      <c r="F11" s="12">
        <f t="shared" si="2"/>
        <v>1640</v>
      </c>
      <c r="G11" s="12">
        <f t="shared" si="2"/>
        <v>478</v>
      </c>
      <c r="H11" s="12">
        <f t="shared" si="2"/>
        <v>930</v>
      </c>
      <c r="I11" s="12">
        <f t="shared" si="2"/>
        <v>467.5</v>
      </c>
      <c r="J11" s="12">
        <f t="shared" si="2"/>
        <v>510</v>
      </c>
      <c r="K11" s="12">
        <f t="shared" si="2"/>
        <v>1000</v>
      </c>
      <c r="L11" s="12">
        <f t="shared" si="2"/>
        <v>100</v>
      </c>
      <c r="M11" s="12">
        <f t="shared" si="2"/>
        <v>0</v>
      </c>
      <c r="N11" s="12">
        <f t="shared" si="2"/>
        <v>761</v>
      </c>
      <c r="O11" s="12">
        <f t="shared" si="2"/>
        <v>384.9</v>
      </c>
      <c r="P11" s="12">
        <f t="shared" si="2"/>
        <v>3500</v>
      </c>
      <c r="Q11" s="12">
        <f t="shared" si="2"/>
        <v>184.8</v>
      </c>
    </row>
    <row r="12" spans="1:17" x14ac:dyDescent="0.3">
      <c r="A12" s="55" t="s">
        <v>87</v>
      </c>
      <c r="B12" s="55">
        <f>SUM(B9:V9)</f>
        <v>950.39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spans="1:17" x14ac:dyDescent="0.3">
      <c r="A13" s="55" t="s">
        <v>88</v>
      </c>
      <c r="B13" s="55">
        <f>SUM(B8:N8)</f>
        <v>1635.5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</row>
    <row r="14" spans="1:17" x14ac:dyDescent="0.3">
      <c r="A14" s="27" t="s">
        <v>89</v>
      </c>
      <c r="B14">
        <f>SUM(B11:T11)</f>
        <v>13013.199999999999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>
      <selection activeCell="O19" sqref="O19"/>
    </sheetView>
  </sheetViews>
  <sheetFormatPr defaultRowHeight="14.4" x14ac:dyDescent="0.3"/>
  <cols>
    <col min="1" max="1" width="24.5546875" style="46" bestFit="1" customWidth="1"/>
    <col min="7" max="7" width="13.109375" style="46" bestFit="1" customWidth="1"/>
    <col min="10" max="10" width="18.44140625" style="46" bestFit="1" customWidth="1"/>
  </cols>
  <sheetData>
    <row r="4" spans="1:11" x14ac:dyDescent="0.3">
      <c r="E4" t="s">
        <v>90</v>
      </c>
      <c r="H4" t="s">
        <v>91</v>
      </c>
      <c r="K4" t="s">
        <v>92</v>
      </c>
    </row>
    <row r="5" spans="1:11" x14ac:dyDescent="0.3">
      <c r="A5" s="13" t="s">
        <v>93</v>
      </c>
      <c r="B5">
        <v>60.35</v>
      </c>
      <c r="C5" t="s">
        <v>94</v>
      </c>
      <c r="D5">
        <v>1</v>
      </c>
      <c r="E5">
        <f>B5*D5</f>
        <v>60.35</v>
      </c>
      <c r="G5" t="s">
        <v>95</v>
      </c>
      <c r="H5">
        <v>252</v>
      </c>
      <c r="J5" t="s">
        <v>96</v>
      </c>
      <c r="K5">
        <v>407</v>
      </c>
    </row>
    <row r="6" spans="1:11" x14ac:dyDescent="0.3">
      <c r="B6">
        <v>80.34</v>
      </c>
      <c r="C6" t="s">
        <v>94</v>
      </c>
      <c r="D6">
        <v>1</v>
      </c>
      <c r="E6">
        <f>B6*D6</f>
        <v>80.34</v>
      </c>
      <c r="G6" t="s">
        <v>97</v>
      </c>
      <c r="H6">
        <v>38.5</v>
      </c>
      <c r="J6" t="s">
        <v>98</v>
      </c>
      <c r="K6">
        <v>29</v>
      </c>
    </row>
    <row r="7" spans="1:11" x14ac:dyDescent="0.3">
      <c r="A7" s="13">
        <v>44649</v>
      </c>
      <c r="B7">
        <v>60</v>
      </c>
      <c r="C7" t="s">
        <v>99</v>
      </c>
      <c r="D7">
        <v>1.1000000000000001</v>
      </c>
      <c r="E7">
        <f>B7*D7</f>
        <v>66</v>
      </c>
      <c r="G7" t="s">
        <v>97</v>
      </c>
      <c r="H7">
        <v>45</v>
      </c>
      <c r="J7" t="s">
        <v>100</v>
      </c>
      <c r="K7">
        <v>223.96</v>
      </c>
    </row>
    <row r="8" spans="1:11" x14ac:dyDescent="0.3">
      <c r="B8">
        <v>250.76</v>
      </c>
      <c r="C8" t="s">
        <v>94</v>
      </c>
      <c r="D8">
        <v>1</v>
      </c>
      <c r="E8">
        <f>B8*D8</f>
        <v>250.76</v>
      </c>
      <c r="G8" t="s">
        <v>97</v>
      </c>
      <c r="H8">
        <v>44.2</v>
      </c>
      <c r="J8" t="s">
        <v>101</v>
      </c>
      <c r="K8">
        <f>53+29</f>
        <v>82</v>
      </c>
    </row>
    <row r="9" spans="1:11" x14ac:dyDescent="0.3">
      <c r="B9">
        <v>100.33</v>
      </c>
      <c r="C9" t="s">
        <v>94</v>
      </c>
      <c r="D9">
        <v>1</v>
      </c>
      <c r="E9">
        <f>B9*D9</f>
        <v>100.33</v>
      </c>
      <c r="J9" t="s">
        <v>102</v>
      </c>
      <c r="K9">
        <f>38+74</f>
        <v>112</v>
      </c>
    </row>
    <row r="10" spans="1:11" x14ac:dyDescent="0.3">
      <c r="A10" s="13">
        <v>44724</v>
      </c>
      <c r="B10">
        <v>81</v>
      </c>
      <c r="C10" t="s">
        <v>99</v>
      </c>
      <c r="D10">
        <v>1.05</v>
      </c>
      <c r="E10">
        <f t="shared" ref="E10:E15" si="0">(B10-1)*D10</f>
        <v>84</v>
      </c>
    </row>
    <row r="11" spans="1:11" x14ac:dyDescent="0.3">
      <c r="A11" s="13">
        <v>44731</v>
      </c>
      <c r="B11">
        <v>101</v>
      </c>
      <c r="C11" t="s">
        <v>99</v>
      </c>
      <c r="D11">
        <v>1.05</v>
      </c>
      <c r="E11">
        <f t="shared" si="0"/>
        <v>105</v>
      </c>
    </row>
    <row r="12" spans="1:11" x14ac:dyDescent="0.3">
      <c r="A12" s="13">
        <v>44754</v>
      </c>
      <c r="B12">
        <v>151</v>
      </c>
      <c r="C12" t="s">
        <v>99</v>
      </c>
      <c r="D12">
        <v>1</v>
      </c>
      <c r="E12">
        <f t="shared" si="0"/>
        <v>150</v>
      </c>
    </row>
    <row r="13" spans="1:11" x14ac:dyDescent="0.3">
      <c r="A13" s="13">
        <v>44813</v>
      </c>
      <c r="B13">
        <v>151</v>
      </c>
      <c r="C13" t="s">
        <v>99</v>
      </c>
      <c r="D13">
        <v>1.02</v>
      </c>
      <c r="E13">
        <f t="shared" si="0"/>
        <v>153</v>
      </c>
    </row>
    <row r="14" spans="1:11" x14ac:dyDescent="0.3">
      <c r="A14" s="13">
        <v>44899</v>
      </c>
      <c r="B14">
        <v>151</v>
      </c>
      <c r="C14" t="s">
        <v>99</v>
      </c>
      <c r="D14">
        <v>1.05</v>
      </c>
      <c r="E14">
        <f t="shared" si="0"/>
        <v>157.5</v>
      </c>
    </row>
    <row r="15" spans="1:11" x14ac:dyDescent="0.3">
      <c r="A15" s="13">
        <v>44914</v>
      </c>
      <c r="B15">
        <v>101</v>
      </c>
      <c r="C15" t="s">
        <v>99</v>
      </c>
      <c r="D15">
        <v>1.06</v>
      </c>
      <c r="E15">
        <f t="shared" si="0"/>
        <v>106</v>
      </c>
    </row>
    <row r="17" spans="7:10" x14ac:dyDescent="0.3">
      <c r="G17" t="s">
        <v>103</v>
      </c>
      <c r="H17" t="s">
        <v>104</v>
      </c>
      <c r="J17" t="s">
        <v>105</v>
      </c>
    </row>
    <row r="18" spans="7:10" x14ac:dyDescent="0.3">
      <c r="G18">
        <f>SUM(E5:E15)</f>
        <v>1313.28</v>
      </c>
      <c r="H18">
        <f>SUM(H5:H8)</f>
        <v>379.7</v>
      </c>
      <c r="J18">
        <f>SUM(K5:K9)</f>
        <v>853.96</v>
      </c>
    </row>
    <row r="21" spans="7:10" x14ac:dyDescent="0.3">
      <c r="G21">
        <f>G18-H18</f>
        <v>933.57999999999993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6"/>
  <sheetViews>
    <sheetView workbookViewId="0">
      <selection activeCell="E23" sqref="E23"/>
    </sheetView>
  </sheetViews>
  <sheetFormatPr defaultRowHeight="14.4" x14ac:dyDescent="0.3"/>
  <cols>
    <col min="2" max="2" width="15.6640625" style="46" bestFit="1" customWidth="1"/>
    <col min="3" max="3" width="9.88671875" style="46" bestFit="1" customWidth="1"/>
    <col min="7" max="7" width="11.6640625" style="46" bestFit="1" customWidth="1"/>
    <col min="8" max="8" width="13" style="46" customWidth="1"/>
    <col min="13" max="13" width="12" style="46" bestFit="1" customWidth="1"/>
  </cols>
  <sheetData>
    <row r="3" spans="2:16" x14ac:dyDescent="0.3">
      <c r="B3" s="64" t="s">
        <v>106</v>
      </c>
      <c r="C3" s="65"/>
      <c r="D3" s="65"/>
      <c r="E3" s="65"/>
      <c r="F3" s="65"/>
    </row>
    <row r="4" spans="2:16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6" x14ac:dyDescent="0.3">
      <c r="B5" s="4" t="s">
        <v>107</v>
      </c>
      <c r="C5" s="44">
        <v>13330000</v>
      </c>
      <c r="D5" s="44">
        <v>25</v>
      </c>
      <c r="E5" s="44">
        <f t="shared" ref="E5:E10" si="0">D5/C5</f>
        <v>1.8754688672168041E-6</v>
      </c>
      <c r="F5" s="44" t="s">
        <v>8</v>
      </c>
      <c r="G5" s="44" t="s">
        <v>108</v>
      </c>
      <c r="H5">
        <f t="shared" ref="H5:H10" si="1">IF($F5="BUY",C5,-C5)</f>
        <v>13330000</v>
      </c>
      <c r="I5">
        <f t="shared" ref="I5:I10" si="2">IF($F5="BUY",-D5,D5)</f>
        <v>-25</v>
      </c>
    </row>
    <row r="6" spans="2:16" x14ac:dyDescent="0.3">
      <c r="B6" s="4">
        <v>45199.915983796287</v>
      </c>
      <c r="C6" s="44">
        <v>61720907</v>
      </c>
      <c r="D6" s="44">
        <v>24.92</v>
      </c>
      <c r="E6" s="44">
        <f t="shared" si="0"/>
        <v>4.0375297790098905E-7</v>
      </c>
      <c r="F6" s="44" t="s">
        <v>8</v>
      </c>
      <c r="G6" s="44" t="s">
        <v>108</v>
      </c>
      <c r="H6">
        <f t="shared" si="1"/>
        <v>61720907</v>
      </c>
      <c r="I6">
        <f t="shared" si="2"/>
        <v>-24.92</v>
      </c>
      <c r="P6" t="s">
        <v>109</v>
      </c>
    </row>
    <row r="7" spans="2:16" x14ac:dyDescent="0.3">
      <c r="B7" s="4">
        <v>45243.658437500002</v>
      </c>
      <c r="C7" s="44">
        <v>37283776</v>
      </c>
      <c r="D7" s="44">
        <v>25</v>
      </c>
      <c r="E7" s="44">
        <f t="shared" si="0"/>
        <v>6.7053294172779065E-7</v>
      </c>
      <c r="F7" s="44" t="s">
        <v>8</v>
      </c>
      <c r="G7" s="44" t="s">
        <v>108</v>
      </c>
      <c r="H7">
        <f t="shared" si="1"/>
        <v>37283776</v>
      </c>
      <c r="I7">
        <f t="shared" si="2"/>
        <v>-25</v>
      </c>
    </row>
    <row r="8" spans="2:16" x14ac:dyDescent="0.3">
      <c r="B8" s="4">
        <v>45301.799085648148</v>
      </c>
      <c r="C8" s="44">
        <v>98911854</v>
      </c>
      <c r="D8" s="44">
        <v>37.527157407600001</v>
      </c>
      <c r="E8" s="44">
        <f t="shared" si="0"/>
        <v>3.7940000000000002E-7</v>
      </c>
      <c r="F8" s="44" t="s">
        <v>10</v>
      </c>
      <c r="G8" s="44" t="s">
        <v>108</v>
      </c>
      <c r="H8">
        <f t="shared" si="1"/>
        <v>-98911854</v>
      </c>
      <c r="I8">
        <f t="shared" si="2"/>
        <v>37.527157407600001</v>
      </c>
    </row>
    <row r="9" spans="2:16" x14ac:dyDescent="0.3">
      <c r="B9" s="4">
        <v>45301.799490740741</v>
      </c>
      <c r="C9" s="44">
        <v>13385584</v>
      </c>
      <c r="D9" s="44">
        <v>5.0851833616000004</v>
      </c>
      <c r="E9" s="44">
        <f t="shared" si="0"/>
        <v>3.7990000000000001E-7</v>
      </c>
      <c r="F9" s="44" t="s">
        <v>10</v>
      </c>
      <c r="G9" s="44" t="s">
        <v>108</v>
      </c>
      <c r="H9">
        <f t="shared" si="1"/>
        <v>-13385584</v>
      </c>
      <c r="I9">
        <f t="shared" si="2"/>
        <v>5.0851833616000004</v>
      </c>
    </row>
    <row r="10" spans="2:16" x14ac:dyDescent="0.3">
      <c r="B10" s="4">
        <v>45315.990543981483</v>
      </c>
      <c r="C10" s="44">
        <v>117001647</v>
      </c>
      <c r="D10" s="44">
        <v>42.612000000000002</v>
      </c>
      <c r="E10" s="44">
        <f t="shared" si="0"/>
        <v>3.6420000138972404E-7</v>
      </c>
      <c r="F10" s="44" t="s">
        <v>8</v>
      </c>
      <c r="G10" s="7" t="s">
        <v>110</v>
      </c>
      <c r="H10">
        <f t="shared" si="1"/>
        <v>117001647</v>
      </c>
      <c r="I10">
        <f t="shared" si="2"/>
        <v>-42.612000000000002</v>
      </c>
    </row>
    <row r="11" spans="2:16" x14ac:dyDescent="0.3">
      <c r="B11" s="4"/>
      <c r="C11" s="44"/>
      <c r="D11" s="44"/>
      <c r="E11" s="44"/>
      <c r="F11" s="44"/>
    </row>
    <row r="12" spans="2:16" x14ac:dyDescent="0.3">
      <c r="B12" s="4"/>
      <c r="C12" s="44"/>
      <c r="D12" s="44"/>
      <c r="E12" s="44"/>
      <c r="F12" s="44"/>
    </row>
    <row r="13" spans="2:16" x14ac:dyDescent="0.3">
      <c r="B13" s="4"/>
      <c r="C13" s="44"/>
      <c r="D13" s="44"/>
      <c r="E13" s="44"/>
      <c r="F13" s="44"/>
    </row>
    <row r="14" spans="2:16" x14ac:dyDescent="0.3">
      <c r="B14" s="4"/>
      <c r="C14" s="44"/>
      <c r="D14" s="44"/>
      <c r="E14" s="44"/>
      <c r="F14" s="44"/>
    </row>
    <row r="15" spans="2:16" x14ac:dyDescent="0.3">
      <c r="B15" s="4"/>
      <c r="C15" s="44"/>
      <c r="D15" s="44"/>
      <c r="E15" s="44"/>
      <c r="F15" s="44"/>
      <c r="K15" t="s">
        <v>3</v>
      </c>
      <c r="L15" t="s">
        <v>11</v>
      </c>
      <c r="M15" t="s">
        <v>12</v>
      </c>
    </row>
    <row r="16" spans="2:16" x14ac:dyDescent="0.3">
      <c r="B16" s="4"/>
      <c r="C16" s="44"/>
      <c r="D16" s="44"/>
      <c r="E16" s="44"/>
      <c r="F16" s="44"/>
      <c r="K16">
        <f>SUM($H1:$H32)</f>
        <v>117038892</v>
      </c>
      <c r="L16">
        <f>-SUM($I1:$I32)</f>
        <v>74.919659230799994</v>
      </c>
      <c r="M16">
        <f>L16/K16</f>
        <v>6.4012618327589772E-7</v>
      </c>
    </row>
  </sheetData>
  <mergeCells count="1">
    <mergeCell ref="B3:F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7"/>
  <sheetViews>
    <sheetView workbookViewId="0">
      <selection activeCell="C12" sqref="C12"/>
    </sheetView>
  </sheetViews>
  <sheetFormatPr defaultRowHeight="14.4" x14ac:dyDescent="0.3"/>
  <cols>
    <col min="2" max="2" width="15.6640625" style="46" bestFit="1" customWidth="1"/>
    <col min="3" max="3" width="12" style="46" bestFit="1" customWidth="1"/>
    <col min="4" max="4" width="17.88671875" style="46" bestFit="1" customWidth="1"/>
    <col min="5" max="5" width="12" style="46" bestFit="1" customWidth="1"/>
    <col min="6" max="6" width="15" style="46" bestFit="1" customWidth="1"/>
    <col min="7" max="7" width="11.6640625" style="46" bestFit="1" customWidth="1"/>
    <col min="13" max="13" width="12" style="46" bestFit="1" customWidth="1"/>
  </cols>
  <sheetData>
    <row r="2" spans="2:13" x14ac:dyDescent="0.3">
      <c r="B2" s="64" t="s">
        <v>74</v>
      </c>
      <c r="C2" s="65"/>
      <c r="D2" s="65"/>
      <c r="E2" s="65"/>
      <c r="F2" s="65"/>
    </row>
    <row r="3" spans="2:13" x14ac:dyDescent="0.3">
      <c r="B3" s="44" t="s">
        <v>16</v>
      </c>
      <c r="C3" s="44" t="s">
        <v>3</v>
      </c>
      <c r="D3" s="44" t="s">
        <v>111</v>
      </c>
      <c r="E3" s="44" t="s">
        <v>5</v>
      </c>
      <c r="F3" s="44" t="s">
        <v>6</v>
      </c>
      <c r="G3" s="44" t="s">
        <v>7</v>
      </c>
    </row>
    <row r="4" spans="2:13" x14ac:dyDescent="0.3">
      <c r="B4" s="44" t="s">
        <v>20</v>
      </c>
      <c r="C4" s="44">
        <v>9.3330000000000002</v>
      </c>
      <c r="D4" s="44">
        <v>5</v>
      </c>
      <c r="E4" s="44">
        <f t="shared" ref="E4:E43" si="0">IF(F4&lt;&gt;"ACCUMULATION",D4/C4,0)</f>
        <v>0.53573341905068039</v>
      </c>
      <c r="F4" s="44" t="s">
        <v>8</v>
      </c>
      <c r="G4" s="3" t="s">
        <v>9</v>
      </c>
      <c r="H4">
        <f t="shared" ref="H4:H19" si="1">IF(F4="BUY",C4,-C4)</f>
        <v>9.3330000000000002</v>
      </c>
      <c r="I4">
        <f t="shared" ref="I4:I35" si="2">IF(F4="ACCUMULATION",0,IF(F4="BUY",-D4,D4))</f>
        <v>-5</v>
      </c>
    </row>
    <row r="5" spans="2:13" x14ac:dyDescent="0.3">
      <c r="B5" s="4">
        <v>44792.408333333333</v>
      </c>
      <c r="C5" s="44">
        <v>5.673</v>
      </c>
      <c r="D5" s="44">
        <v>5</v>
      </c>
      <c r="E5" s="44">
        <f t="shared" si="0"/>
        <v>0.88136788295434509</v>
      </c>
      <c r="F5" s="44" t="s">
        <v>8</v>
      </c>
      <c r="G5" s="3" t="s">
        <v>9</v>
      </c>
      <c r="H5">
        <f t="shared" si="1"/>
        <v>5.673</v>
      </c>
      <c r="I5">
        <f t="shared" si="2"/>
        <v>-5</v>
      </c>
    </row>
    <row r="6" spans="2:13" x14ac:dyDescent="0.3">
      <c r="B6" s="4">
        <v>44803.650694444441</v>
      </c>
      <c r="C6" s="44">
        <v>6.226</v>
      </c>
      <c r="D6" s="44">
        <v>5</v>
      </c>
      <c r="E6" s="44">
        <f t="shared" si="0"/>
        <v>0.8030838419530999</v>
      </c>
      <c r="F6" s="44" t="s">
        <v>8</v>
      </c>
      <c r="G6" s="3" t="s">
        <v>9</v>
      </c>
      <c r="H6">
        <f t="shared" si="1"/>
        <v>6.226</v>
      </c>
      <c r="I6">
        <f t="shared" si="2"/>
        <v>-5</v>
      </c>
    </row>
    <row r="7" spans="2:13" x14ac:dyDescent="0.3">
      <c r="B7" s="4">
        <v>44811.361111111109</v>
      </c>
      <c r="C7" s="44">
        <v>6.7320000000000002</v>
      </c>
      <c r="D7" s="44">
        <v>5</v>
      </c>
      <c r="E7" s="44">
        <f t="shared" si="0"/>
        <v>0.74272133095662507</v>
      </c>
      <c r="F7" s="44" t="s">
        <v>8</v>
      </c>
      <c r="G7" s="3" t="s">
        <v>9</v>
      </c>
      <c r="H7">
        <f t="shared" si="1"/>
        <v>6.7320000000000002</v>
      </c>
      <c r="I7">
        <f t="shared" si="2"/>
        <v>-5</v>
      </c>
    </row>
    <row r="8" spans="2:13" x14ac:dyDescent="0.3">
      <c r="B8" s="4">
        <v>44870.381944444453</v>
      </c>
      <c r="C8" s="44">
        <v>5.7670000000000003</v>
      </c>
      <c r="D8" s="44">
        <v>5</v>
      </c>
      <c r="E8" s="44">
        <f t="shared" si="0"/>
        <v>0.86700190740419625</v>
      </c>
      <c r="F8" s="44" t="s">
        <v>10</v>
      </c>
      <c r="G8" s="3" t="s">
        <v>9</v>
      </c>
      <c r="H8">
        <f t="shared" si="1"/>
        <v>-5.7670000000000003</v>
      </c>
      <c r="I8">
        <f t="shared" si="2"/>
        <v>5</v>
      </c>
    </row>
    <row r="9" spans="2:13" x14ac:dyDescent="0.3">
      <c r="B9" s="4">
        <v>44872.385416666657</v>
      </c>
      <c r="C9" s="44">
        <v>6.6689999999999996</v>
      </c>
      <c r="D9" s="44">
        <v>5</v>
      </c>
      <c r="E9" s="44">
        <f t="shared" si="0"/>
        <v>0.74973759184285504</v>
      </c>
      <c r="F9" s="44" t="s">
        <v>8</v>
      </c>
      <c r="G9" s="3" t="s">
        <v>9</v>
      </c>
      <c r="H9">
        <f t="shared" si="1"/>
        <v>6.6689999999999996</v>
      </c>
      <c r="I9">
        <f t="shared" si="2"/>
        <v>-5</v>
      </c>
    </row>
    <row r="10" spans="2:13" x14ac:dyDescent="0.3">
      <c r="B10" s="4">
        <v>44873.90347222222</v>
      </c>
      <c r="C10" s="44">
        <v>8.6999999999999993</v>
      </c>
      <c r="D10" s="44">
        <v>5</v>
      </c>
      <c r="E10" s="44">
        <f t="shared" si="0"/>
        <v>0.57471264367816099</v>
      </c>
      <c r="F10" s="44" t="s">
        <v>8</v>
      </c>
      <c r="G10" s="3" t="s">
        <v>9</v>
      </c>
      <c r="H10">
        <f t="shared" si="1"/>
        <v>8.6999999999999993</v>
      </c>
      <c r="I10">
        <f t="shared" si="2"/>
        <v>-5</v>
      </c>
    </row>
    <row r="11" spans="2:13" x14ac:dyDescent="0.3">
      <c r="B11" s="4">
        <v>44875.041666666657</v>
      </c>
      <c r="C11" s="44">
        <v>15.86</v>
      </c>
      <c r="D11" s="44">
        <v>5</v>
      </c>
      <c r="E11" s="44">
        <f t="shared" si="0"/>
        <v>0.31525851197982346</v>
      </c>
      <c r="F11" s="44" t="s">
        <v>8</v>
      </c>
      <c r="G11" s="3" t="s">
        <v>9</v>
      </c>
      <c r="H11">
        <f t="shared" si="1"/>
        <v>15.86</v>
      </c>
      <c r="I11">
        <f t="shared" si="2"/>
        <v>-5</v>
      </c>
      <c r="K11" t="s">
        <v>3</v>
      </c>
      <c r="L11" t="s">
        <v>11</v>
      </c>
      <c r="M11" t="s">
        <v>12</v>
      </c>
    </row>
    <row r="12" spans="2:13" x14ac:dyDescent="0.3">
      <c r="B12" s="4">
        <v>44878.959722222222</v>
      </c>
      <c r="C12" s="44">
        <v>23.226500000000001</v>
      </c>
      <c r="D12" s="44">
        <v>5</v>
      </c>
      <c r="E12" s="44">
        <f t="shared" si="0"/>
        <v>0.21527134953609023</v>
      </c>
      <c r="F12" s="44" t="s">
        <v>8</v>
      </c>
      <c r="G12" s="3" t="s">
        <v>9</v>
      </c>
      <c r="H12">
        <f t="shared" si="1"/>
        <v>23.226500000000001</v>
      </c>
      <c r="I12">
        <f t="shared" si="2"/>
        <v>-5</v>
      </c>
      <c r="K12">
        <f>SUM($H$4:$H80)</f>
        <v>406.07966109999984</v>
      </c>
      <c r="L12">
        <f>-SUM($I$4:$I80)</f>
        <v>270.03841</v>
      </c>
      <c r="M12">
        <f>L12/K12</f>
        <v>0.66498875927081025</v>
      </c>
    </row>
    <row r="13" spans="2:13" x14ac:dyDescent="0.3">
      <c r="B13" s="4">
        <v>44878.960416666669</v>
      </c>
      <c r="C13" s="44">
        <v>11.573297820000001</v>
      </c>
      <c r="D13" s="44">
        <v>2.5</v>
      </c>
      <c r="E13" s="44">
        <f t="shared" si="0"/>
        <v>0.21601448773570056</v>
      </c>
      <c r="F13" s="44" t="s">
        <v>8</v>
      </c>
      <c r="G13" s="3" t="s">
        <v>9</v>
      </c>
      <c r="H13">
        <f t="shared" si="1"/>
        <v>11.573297820000001</v>
      </c>
      <c r="I13">
        <f t="shared" si="2"/>
        <v>-2.5</v>
      </c>
    </row>
    <row r="14" spans="2:13" x14ac:dyDescent="0.3">
      <c r="B14" s="4">
        <v>44879.309027777781</v>
      </c>
      <c r="C14" s="44">
        <v>15.22</v>
      </c>
      <c r="D14" s="44">
        <v>2.5</v>
      </c>
      <c r="E14" s="44">
        <f t="shared" si="0"/>
        <v>0.16425755584756899</v>
      </c>
      <c r="F14" s="44" t="s">
        <v>8</v>
      </c>
      <c r="G14" s="3" t="s">
        <v>9</v>
      </c>
      <c r="H14">
        <f t="shared" si="1"/>
        <v>15.22</v>
      </c>
      <c r="I14">
        <f t="shared" si="2"/>
        <v>-2.5</v>
      </c>
    </row>
    <row r="15" spans="2:13" x14ac:dyDescent="0.3">
      <c r="B15" s="4">
        <v>44880.519444444442</v>
      </c>
      <c r="C15" s="44">
        <v>16.550999999999998</v>
      </c>
      <c r="D15" s="44">
        <v>5</v>
      </c>
      <c r="E15" s="44">
        <f t="shared" si="0"/>
        <v>0.30209655005739838</v>
      </c>
      <c r="F15" s="44" t="s">
        <v>8</v>
      </c>
      <c r="G15" s="3" t="s">
        <v>9</v>
      </c>
      <c r="H15">
        <f t="shared" si="1"/>
        <v>16.550999999999998</v>
      </c>
      <c r="I15">
        <f t="shared" si="2"/>
        <v>-5</v>
      </c>
    </row>
    <row r="16" spans="2:13" x14ac:dyDescent="0.3">
      <c r="B16" s="4">
        <v>44885.832638888889</v>
      </c>
      <c r="C16" s="44">
        <v>15.933999999999999</v>
      </c>
      <c r="D16" s="44">
        <v>5</v>
      </c>
      <c r="E16" s="44">
        <f t="shared" si="0"/>
        <v>0.31379440190787</v>
      </c>
      <c r="F16" s="44" t="s">
        <v>10</v>
      </c>
      <c r="G16" s="3" t="s">
        <v>9</v>
      </c>
      <c r="H16">
        <f t="shared" si="1"/>
        <v>-15.933999999999999</v>
      </c>
      <c r="I16">
        <f t="shared" si="2"/>
        <v>5</v>
      </c>
    </row>
    <row r="17" spans="2:9" x14ac:dyDescent="0.3">
      <c r="B17" s="4">
        <v>44885.834027777782</v>
      </c>
      <c r="C17" s="44">
        <v>15.028</v>
      </c>
      <c r="D17" s="44">
        <v>5</v>
      </c>
      <c r="E17" s="44">
        <f t="shared" si="0"/>
        <v>0.33271227042853341</v>
      </c>
      <c r="F17" s="44" t="s">
        <v>10</v>
      </c>
      <c r="G17" s="3" t="s">
        <v>9</v>
      </c>
      <c r="H17">
        <f t="shared" si="1"/>
        <v>-15.028</v>
      </c>
      <c r="I17">
        <f t="shared" si="2"/>
        <v>5</v>
      </c>
    </row>
    <row r="18" spans="2:9" x14ac:dyDescent="0.3">
      <c r="B18" s="4">
        <v>44885.843055555553</v>
      </c>
      <c r="C18" s="44">
        <v>14.9</v>
      </c>
      <c r="D18" s="44">
        <v>5</v>
      </c>
      <c r="E18" s="44">
        <f t="shared" si="0"/>
        <v>0.33557046979865773</v>
      </c>
      <c r="F18" s="44" t="s">
        <v>10</v>
      </c>
      <c r="G18" s="3" t="s">
        <v>9</v>
      </c>
      <c r="H18">
        <f t="shared" si="1"/>
        <v>-14.9</v>
      </c>
      <c r="I18">
        <f t="shared" si="2"/>
        <v>5</v>
      </c>
    </row>
    <row r="19" spans="2:9" x14ac:dyDescent="0.3">
      <c r="B19" s="4">
        <v>44887.755555555559</v>
      </c>
      <c r="C19" s="44">
        <v>19.72</v>
      </c>
      <c r="D19" s="44">
        <v>5</v>
      </c>
      <c r="E19" s="44">
        <f t="shared" si="0"/>
        <v>0.25354969574036512</v>
      </c>
      <c r="F19" s="44" t="s">
        <v>8</v>
      </c>
      <c r="G19" s="3" t="s">
        <v>9</v>
      </c>
      <c r="H19">
        <f t="shared" si="1"/>
        <v>19.72</v>
      </c>
      <c r="I19">
        <f t="shared" si="2"/>
        <v>-5</v>
      </c>
    </row>
    <row r="20" spans="2:9" x14ac:dyDescent="0.3">
      <c r="B20" s="4">
        <v>44886.884027777778</v>
      </c>
      <c r="C20" s="44">
        <v>60</v>
      </c>
      <c r="D20" s="45">
        <v>0.41</v>
      </c>
      <c r="E20" s="44">
        <f t="shared" si="0"/>
        <v>0</v>
      </c>
      <c r="F20" s="44" t="s">
        <v>29</v>
      </c>
      <c r="G20" s="3"/>
      <c r="H20" s="9">
        <v>-0.41</v>
      </c>
      <c r="I20">
        <f t="shared" si="2"/>
        <v>0</v>
      </c>
    </row>
    <row r="21" spans="2:9" x14ac:dyDescent="0.3">
      <c r="B21" s="4">
        <v>44889.84652777778</v>
      </c>
      <c r="C21" s="44">
        <v>28.8</v>
      </c>
      <c r="D21" s="44">
        <v>10.08</v>
      </c>
      <c r="E21" s="44">
        <f t="shared" si="0"/>
        <v>0.35</v>
      </c>
      <c r="F21" s="44" t="s">
        <v>10</v>
      </c>
      <c r="G21" s="3" t="s">
        <v>9</v>
      </c>
      <c r="H21">
        <f t="shared" ref="H21:H35" si="3">IF(F21="BUY",C21,-C21)</f>
        <v>-28.8</v>
      </c>
      <c r="I21">
        <f t="shared" si="2"/>
        <v>10.08</v>
      </c>
    </row>
    <row r="22" spans="2:9" x14ac:dyDescent="0.3">
      <c r="B22" s="4">
        <v>44889.864583333343</v>
      </c>
      <c r="C22" s="44">
        <v>4.7359999999999998</v>
      </c>
      <c r="D22" s="44">
        <v>1.4430000000000001</v>
      </c>
      <c r="E22" s="44">
        <f t="shared" si="0"/>
        <v>0.30468750000000006</v>
      </c>
      <c r="F22" s="44" t="s">
        <v>10</v>
      </c>
      <c r="G22" s="3" t="s">
        <v>9</v>
      </c>
      <c r="H22">
        <f t="shared" si="3"/>
        <v>-4.7359999999999998</v>
      </c>
      <c r="I22">
        <f t="shared" si="2"/>
        <v>1.4430000000000001</v>
      </c>
    </row>
    <row r="23" spans="2:9" x14ac:dyDescent="0.3">
      <c r="B23" s="4">
        <v>44892.256249999999</v>
      </c>
      <c r="C23" s="44">
        <v>39.15</v>
      </c>
      <c r="D23" s="44">
        <v>10</v>
      </c>
      <c r="E23" s="44">
        <f t="shared" si="0"/>
        <v>0.2554278416347382</v>
      </c>
      <c r="F23" s="44" t="s">
        <v>8</v>
      </c>
      <c r="G23" s="3" t="s">
        <v>9</v>
      </c>
      <c r="H23">
        <f t="shared" si="3"/>
        <v>39.15</v>
      </c>
      <c r="I23">
        <f t="shared" si="2"/>
        <v>-10</v>
      </c>
    </row>
    <row r="24" spans="2:9" x14ac:dyDescent="0.3">
      <c r="B24" s="4">
        <v>44893.303472222222</v>
      </c>
      <c r="C24" s="44">
        <v>43.9</v>
      </c>
      <c r="D24" s="44">
        <v>10</v>
      </c>
      <c r="E24" s="44">
        <f t="shared" si="0"/>
        <v>0.22779043280182232</v>
      </c>
      <c r="F24" s="44" t="s">
        <v>8</v>
      </c>
      <c r="G24" s="3" t="s">
        <v>9</v>
      </c>
      <c r="H24">
        <f t="shared" si="3"/>
        <v>43.9</v>
      </c>
      <c r="I24">
        <f t="shared" si="2"/>
        <v>-10</v>
      </c>
    </row>
    <row r="25" spans="2:9" x14ac:dyDescent="0.3">
      <c r="B25" s="4">
        <v>44895.074999999997</v>
      </c>
      <c r="C25" s="44">
        <v>22.05</v>
      </c>
      <c r="D25" s="44">
        <v>5</v>
      </c>
      <c r="E25" s="44">
        <f t="shared" si="0"/>
        <v>0.22675736961451246</v>
      </c>
      <c r="F25" s="44" t="s">
        <v>8</v>
      </c>
      <c r="G25" s="3" t="s">
        <v>9</v>
      </c>
      <c r="H25">
        <f t="shared" si="3"/>
        <v>22.05</v>
      </c>
      <c r="I25">
        <f t="shared" si="2"/>
        <v>-5</v>
      </c>
    </row>
    <row r="26" spans="2:9" x14ac:dyDescent="0.3">
      <c r="B26" s="4">
        <v>44903.738194444442</v>
      </c>
      <c r="C26" s="44">
        <v>23.38</v>
      </c>
      <c r="D26" s="44">
        <v>5</v>
      </c>
      <c r="E26" s="44">
        <f t="shared" si="0"/>
        <v>0.21385799828913601</v>
      </c>
      <c r="F26" s="44" t="s">
        <v>8</v>
      </c>
      <c r="G26" s="3" t="s">
        <v>9</v>
      </c>
      <c r="H26">
        <f t="shared" si="3"/>
        <v>23.38</v>
      </c>
      <c r="I26">
        <f t="shared" si="2"/>
        <v>-5</v>
      </c>
    </row>
    <row r="27" spans="2:9" x14ac:dyDescent="0.3">
      <c r="B27" s="4">
        <v>44907.068749999999</v>
      </c>
      <c r="C27" s="44">
        <v>40</v>
      </c>
      <c r="D27" s="44">
        <v>10</v>
      </c>
      <c r="E27" s="44">
        <f t="shared" si="0"/>
        <v>0.25</v>
      </c>
      <c r="F27" s="44" t="s">
        <v>10</v>
      </c>
      <c r="G27" s="3" t="s">
        <v>9</v>
      </c>
      <c r="H27">
        <f t="shared" si="3"/>
        <v>-40</v>
      </c>
      <c r="I27">
        <f t="shared" si="2"/>
        <v>10</v>
      </c>
    </row>
    <row r="28" spans="2:9" x14ac:dyDescent="0.3">
      <c r="B28" s="4">
        <v>44907.262499999997</v>
      </c>
      <c r="C28" s="44">
        <v>22.9</v>
      </c>
      <c r="D28" s="44">
        <v>5</v>
      </c>
      <c r="E28" s="44">
        <f t="shared" si="0"/>
        <v>0.2183406113537118</v>
      </c>
      <c r="F28" s="44" t="s">
        <v>8</v>
      </c>
      <c r="G28" s="3" t="s">
        <v>9</v>
      </c>
      <c r="H28">
        <f t="shared" si="3"/>
        <v>22.9</v>
      </c>
      <c r="I28">
        <f t="shared" si="2"/>
        <v>-5</v>
      </c>
    </row>
    <row r="29" spans="2:9" x14ac:dyDescent="0.3">
      <c r="B29" s="4">
        <v>44910.301388888889</v>
      </c>
      <c r="C29" s="44">
        <v>24</v>
      </c>
      <c r="D29" s="44">
        <v>5</v>
      </c>
      <c r="E29" s="44">
        <f t="shared" si="0"/>
        <v>0.20833333333333334</v>
      </c>
      <c r="F29" s="44" t="s">
        <v>8</v>
      </c>
      <c r="G29" s="3" t="s">
        <v>9</v>
      </c>
      <c r="H29">
        <f t="shared" si="3"/>
        <v>24</v>
      </c>
      <c r="I29">
        <f t="shared" si="2"/>
        <v>-5</v>
      </c>
    </row>
    <row r="30" spans="2:9" x14ac:dyDescent="0.3">
      <c r="B30" s="4">
        <v>44912.04791666667</v>
      </c>
      <c r="C30" s="44">
        <v>56.28</v>
      </c>
      <c r="D30" s="44">
        <v>10</v>
      </c>
      <c r="E30" s="44">
        <f t="shared" si="0"/>
        <v>0.17768301350390903</v>
      </c>
      <c r="F30" s="44" t="s">
        <v>10</v>
      </c>
      <c r="G30" s="3" t="s">
        <v>9</v>
      </c>
      <c r="H30">
        <f t="shared" si="3"/>
        <v>-56.28</v>
      </c>
      <c r="I30">
        <f t="shared" si="2"/>
        <v>10</v>
      </c>
    </row>
    <row r="31" spans="2:9" x14ac:dyDescent="0.3">
      <c r="B31" s="4">
        <v>44914.054166666669</v>
      </c>
      <c r="C31" s="44">
        <v>14.37</v>
      </c>
      <c r="D31" s="44">
        <v>2.5</v>
      </c>
      <c r="E31" s="44">
        <f t="shared" si="0"/>
        <v>0.17397355601948505</v>
      </c>
      <c r="F31" s="44" t="s">
        <v>8</v>
      </c>
      <c r="G31" s="3" t="s">
        <v>9</v>
      </c>
      <c r="H31">
        <f t="shared" si="3"/>
        <v>14.37</v>
      </c>
      <c r="I31">
        <f t="shared" si="2"/>
        <v>-2.5</v>
      </c>
    </row>
    <row r="32" spans="2:9" x14ac:dyDescent="0.3">
      <c r="B32" s="4">
        <v>44915.244444444441</v>
      </c>
      <c r="C32" s="44">
        <v>47.14</v>
      </c>
      <c r="D32" s="44">
        <v>7.5</v>
      </c>
      <c r="E32" s="44">
        <f t="shared" si="0"/>
        <v>0.15910055154857869</v>
      </c>
      <c r="F32" s="44" t="s">
        <v>8</v>
      </c>
      <c r="G32" s="3" t="s">
        <v>9</v>
      </c>
      <c r="H32">
        <f t="shared" si="3"/>
        <v>47.14</v>
      </c>
      <c r="I32">
        <f t="shared" si="2"/>
        <v>-7.5</v>
      </c>
    </row>
    <row r="33" spans="2:9" x14ac:dyDescent="0.3">
      <c r="B33" s="4">
        <v>44929.909722222219</v>
      </c>
      <c r="C33" s="44">
        <v>56.1</v>
      </c>
      <c r="D33" s="44">
        <v>10.098000000000001</v>
      </c>
      <c r="E33" s="44">
        <f t="shared" si="0"/>
        <v>0.18000000000000002</v>
      </c>
      <c r="F33" s="44" t="s">
        <v>10</v>
      </c>
      <c r="G33" s="3" t="s">
        <v>9</v>
      </c>
      <c r="H33">
        <f t="shared" si="3"/>
        <v>-56.1</v>
      </c>
      <c r="I33">
        <f t="shared" si="2"/>
        <v>10.098000000000001</v>
      </c>
    </row>
    <row r="34" spans="2:9" x14ac:dyDescent="0.3">
      <c r="B34" s="4">
        <v>44929.982638888891</v>
      </c>
      <c r="C34" s="44">
        <v>40</v>
      </c>
      <c r="D34" s="44">
        <v>7.4</v>
      </c>
      <c r="E34" s="44">
        <f t="shared" si="0"/>
        <v>0.185</v>
      </c>
      <c r="F34" s="44" t="s">
        <v>10</v>
      </c>
      <c r="G34" s="3" t="s">
        <v>9</v>
      </c>
      <c r="H34">
        <f t="shared" si="3"/>
        <v>-40</v>
      </c>
      <c r="I34">
        <f t="shared" si="2"/>
        <v>7.4</v>
      </c>
    </row>
    <row r="35" spans="2:9" x14ac:dyDescent="0.3">
      <c r="B35" s="4">
        <v>44931.999305555553</v>
      </c>
      <c r="C35" s="44">
        <v>47.38</v>
      </c>
      <c r="D35" s="44">
        <v>7.4</v>
      </c>
      <c r="E35" s="44">
        <f t="shared" si="0"/>
        <v>0.1561840439003799</v>
      </c>
      <c r="F35" s="44" t="s">
        <v>8</v>
      </c>
      <c r="G35" s="3" t="s">
        <v>9</v>
      </c>
      <c r="H35">
        <f t="shared" si="3"/>
        <v>47.38</v>
      </c>
      <c r="I35">
        <f t="shared" si="2"/>
        <v>-7.4</v>
      </c>
    </row>
    <row r="36" spans="2:9" x14ac:dyDescent="0.3">
      <c r="B36" s="4">
        <v>44932.026388888888</v>
      </c>
      <c r="C36" s="44">
        <v>18.850000000000001</v>
      </c>
      <c r="D36" s="44">
        <v>0.65</v>
      </c>
      <c r="E36" s="44">
        <f t="shared" si="0"/>
        <v>0</v>
      </c>
      <c r="F36" s="44" t="s">
        <v>29</v>
      </c>
      <c r="G36" s="3"/>
      <c r="H36">
        <v>-0.65</v>
      </c>
      <c r="I36">
        <f t="shared" ref="I36:I67" si="4">IF(F36="ACCUMULATION",0,IF(F36="BUY",-D36,D36))</f>
        <v>0</v>
      </c>
    </row>
    <row r="37" spans="2:9" x14ac:dyDescent="0.3">
      <c r="B37" s="4">
        <v>44932.029861111107</v>
      </c>
      <c r="C37" s="44">
        <v>44.444400000000002</v>
      </c>
      <c r="D37" s="44">
        <v>8</v>
      </c>
      <c r="E37" s="44">
        <f t="shared" si="0"/>
        <v>0.18000018000018</v>
      </c>
      <c r="F37" s="44" t="s">
        <v>10</v>
      </c>
      <c r="G37" s="3" t="s">
        <v>9</v>
      </c>
      <c r="H37">
        <f t="shared" ref="H37:H43" si="5">IF(F37="BUY",C37,-C37)</f>
        <v>-44.444400000000002</v>
      </c>
      <c r="I37">
        <f t="shared" si="4"/>
        <v>8</v>
      </c>
    </row>
    <row r="38" spans="2:9" x14ac:dyDescent="0.3">
      <c r="B38" s="4">
        <v>44936.522916666669</v>
      </c>
      <c r="C38" s="44">
        <v>25.05</v>
      </c>
      <c r="D38" s="44">
        <v>5</v>
      </c>
      <c r="E38" s="44">
        <f t="shared" si="0"/>
        <v>0.19960079840319361</v>
      </c>
      <c r="F38" s="44" t="s">
        <v>10</v>
      </c>
      <c r="G38" s="3" t="s">
        <v>9</v>
      </c>
      <c r="H38">
        <f t="shared" si="5"/>
        <v>-25.05</v>
      </c>
      <c r="I38">
        <f t="shared" si="4"/>
        <v>5</v>
      </c>
    </row>
    <row r="39" spans="2:9" x14ac:dyDescent="0.3">
      <c r="B39" s="4">
        <v>44936.836111111108</v>
      </c>
      <c r="C39" s="44">
        <v>27.77</v>
      </c>
      <c r="D39" s="44">
        <v>5</v>
      </c>
      <c r="E39" s="44">
        <f t="shared" si="0"/>
        <v>0.18005041411595246</v>
      </c>
      <c r="F39" s="44" t="s">
        <v>8</v>
      </c>
      <c r="G39" s="3" t="s">
        <v>9</v>
      </c>
      <c r="H39">
        <f t="shared" si="5"/>
        <v>27.77</v>
      </c>
      <c r="I39">
        <f t="shared" si="4"/>
        <v>-5</v>
      </c>
    </row>
    <row r="40" spans="2:9" x14ac:dyDescent="0.3">
      <c r="B40" s="4">
        <v>44937.306944444441</v>
      </c>
      <c r="C40" s="44">
        <v>25</v>
      </c>
      <c r="D40" s="44">
        <v>5</v>
      </c>
      <c r="E40" s="44">
        <f t="shared" si="0"/>
        <v>0.2</v>
      </c>
      <c r="F40" s="44" t="s">
        <v>10</v>
      </c>
      <c r="G40" s="3" t="s">
        <v>9</v>
      </c>
      <c r="H40">
        <f t="shared" si="5"/>
        <v>-25</v>
      </c>
      <c r="I40">
        <f t="shared" si="4"/>
        <v>5</v>
      </c>
    </row>
    <row r="41" spans="2:9" x14ac:dyDescent="0.3">
      <c r="B41" s="4">
        <v>44940.808333333327</v>
      </c>
      <c r="C41" s="44">
        <v>5.7</v>
      </c>
      <c r="D41" s="44">
        <v>1.7490000000000001</v>
      </c>
      <c r="E41" s="44">
        <f t="shared" si="0"/>
        <v>0.30684210526315792</v>
      </c>
      <c r="F41" s="44" t="s">
        <v>10</v>
      </c>
      <c r="G41" s="3" t="s">
        <v>9</v>
      </c>
      <c r="H41">
        <f t="shared" si="5"/>
        <v>-5.7</v>
      </c>
      <c r="I41">
        <f t="shared" si="4"/>
        <v>1.7490000000000001</v>
      </c>
    </row>
    <row r="42" spans="2:9" x14ac:dyDescent="0.3">
      <c r="B42" s="4">
        <v>44941.495833333327</v>
      </c>
      <c r="C42" s="44">
        <v>78.8</v>
      </c>
      <c r="D42" s="44">
        <v>39.4</v>
      </c>
      <c r="E42" s="44">
        <f t="shared" si="0"/>
        <v>0.5</v>
      </c>
      <c r="F42" s="44" t="s">
        <v>10</v>
      </c>
      <c r="G42" s="3" t="s">
        <v>9</v>
      </c>
      <c r="H42">
        <f t="shared" si="5"/>
        <v>-78.8</v>
      </c>
      <c r="I42">
        <f t="shared" si="4"/>
        <v>39.4</v>
      </c>
    </row>
    <row r="43" spans="2:9" x14ac:dyDescent="0.3">
      <c r="B43" s="4">
        <v>44982.013888888891</v>
      </c>
      <c r="C43" s="44">
        <v>80</v>
      </c>
      <c r="D43" s="44">
        <v>26.072109999999999</v>
      </c>
      <c r="E43" s="44">
        <f t="shared" si="0"/>
        <v>0.32590137499999999</v>
      </c>
      <c r="F43" s="44" t="s">
        <v>8</v>
      </c>
      <c r="G43" s="3" t="s">
        <v>9</v>
      </c>
      <c r="H43">
        <f t="shared" si="5"/>
        <v>80</v>
      </c>
      <c r="I43">
        <f t="shared" si="4"/>
        <v>-26.072109999999999</v>
      </c>
    </row>
    <row r="44" spans="2:9" x14ac:dyDescent="0.3">
      <c r="B44" s="4">
        <v>44982.015277777777</v>
      </c>
      <c r="C44" s="44">
        <v>79.5</v>
      </c>
      <c r="D44" s="3">
        <v>0.5</v>
      </c>
      <c r="E44" s="44">
        <v>0</v>
      </c>
      <c r="F44" s="44" t="s">
        <v>29</v>
      </c>
      <c r="G44" s="3"/>
      <c r="H44">
        <v>-0.5</v>
      </c>
      <c r="I44">
        <f t="shared" si="4"/>
        <v>0</v>
      </c>
    </row>
    <row r="45" spans="2:9" x14ac:dyDescent="0.3">
      <c r="B45" s="4">
        <v>44995.834027777782</v>
      </c>
      <c r="C45" s="44">
        <v>55.518516150000004</v>
      </c>
      <c r="D45" s="44">
        <v>13.4</v>
      </c>
      <c r="E45" s="44">
        <f>IF(F45&lt;&gt;"ACCUMULATION",D45/C45,0)</f>
        <v>0.24136091756839936</v>
      </c>
      <c r="F45" s="44" t="s">
        <v>8</v>
      </c>
      <c r="G45" s="3" t="s">
        <v>9</v>
      </c>
      <c r="H45">
        <f>IF(F45="BUY",C45,-C45)</f>
        <v>55.518516150000004</v>
      </c>
      <c r="I45">
        <f t="shared" si="4"/>
        <v>-13.4</v>
      </c>
    </row>
    <row r="46" spans="2:9" x14ac:dyDescent="0.3">
      <c r="B46" s="4">
        <v>44995.836805555547</v>
      </c>
      <c r="C46" s="44" t="s">
        <v>112</v>
      </c>
      <c r="D46" s="44">
        <v>0.56000000000000005</v>
      </c>
      <c r="E46" s="3">
        <v>0</v>
      </c>
      <c r="F46" s="44" t="s">
        <v>29</v>
      </c>
      <c r="G46" s="3"/>
      <c r="H46">
        <v>-0.56000000000000005</v>
      </c>
      <c r="I46">
        <f t="shared" si="4"/>
        <v>0</v>
      </c>
    </row>
    <row r="47" spans="2:9" x14ac:dyDescent="0.3">
      <c r="B47" s="4">
        <v>45010.025000000001</v>
      </c>
      <c r="C47" s="44">
        <v>33.338989480000002</v>
      </c>
      <c r="D47" s="44">
        <v>6.74</v>
      </c>
      <c r="E47" s="44">
        <f t="shared" ref="E47:E65" si="6">IF(F47&lt;&gt;"ACCUMULATION",D47/C47,0)</f>
        <v>0.20216569563523554</v>
      </c>
      <c r="F47" s="44" t="s">
        <v>8</v>
      </c>
      <c r="G47" s="3" t="s">
        <v>9</v>
      </c>
      <c r="H47">
        <f t="shared" ref="H47:H67" si="7">IF(F47="BUY",C47,-C47)</f>
        <v>33.338989480000002</v>
      </c>
      <c r="I47">
        <f t="shared" si="4"/>
        <v>-6.74</v>
      </c>
    </row>
    <row r="48" spans="2:9" x14ac:dyDescent="0.3">
      <c r="B48" s="4">
        <v>45011.01458333333</v>
      </c>
      <c r="C48" s="44">
        <v>33.33898963</v>
      </c>
      <c r="D48" s="44">
        <v>7.6437999999999997</v>
      </c>
      <c r="E48" s="44">
        <f t="shared" si="6"/>
        <v>0.22927509456140646</v>
      </c>
      <c r="F48" s="44" t="s">
        <v>10</v>
      </c>
      <c r="G48" s="3" t="s">
        <v>9</v>
      </c>
      <c r="H48">
        <f t="shared" si="7"/>
        <v>-33.33898963</v>
      </c>
      <c r="I48">
        <f t="shared" si="4"/>
        <v>7.6437999999999997</v>
      </c>
    </row>
    <row r="49" spans="2:9" x14ac:dyDescent="0.3">
      <c r="B49" s="4">
        <v>45011.015972222223</v>
      </c>
      <c r="C49" s="44">
        <v>36.380952379999997</v>
      </c>
      <c r="D49" s="44">
        <v>7.64</v>
      </c>
      <c r="E49" s="44">
        <f t="shared" si="6"/>
        <v>0.2100000000054974</v>
      </c>
      <c r="F49" s="44" t="s">
        <v>8</v>
      </c>
      <c r="G49" s="3" t="s">
        <v>9</v>
      </c>
      <c r="H49">
        <f t="shared" si="7"/>
        <v>36.380952379999997</v>
      </c>
      <c r="I49">
        <f t="shared" si="4"/>
        <v>-7.64</v>
      </c>
    </row>
    <row r="50" spans="2:9" x14ac:dyDescent="0.3">
      <c r="B50" s="4">
        <v>45015.968055555553</v>
      </c>
      <c r="C50" s="44">
        <v>235.30585131000001</v>
      </c>
      <c r="D50" s="44">
        <v>50</v>
      </c>
      <c r="E50" s="44">
        <f t="shared" si="6"/>
        <v>0.21248940356408003</v>
      </c>
      <c r="F50" s="44" t="s">
        <v>8</v>
      </c>
      <c r="G50" s="3" t="s">
        <v>9</v>
      </c>
      <c r="H50">
        <f t="shared" si="7"/>
        <v>235.30585131000001</v>
      </c>
      <c r="I50">
        <f t="shared" si="4"/>
        <v>-50</v>
      </c>
    </row>
    <row r="51" spans="2:9" x14ac:dyDescent="0.3">
      <c r="B51" s="4">
        <v>45024.602777777778</v>
      </c>
      <c r="C51" s="44">
        <v>277.77777777</v>
      </c>
      <c r="D51" s="44">
        <v>50</v>
      </c>
      <c r="E51" s="44">
        <f t="shared" si="6"/>
        <v>0.18000000000503999</v>
      </c>
      <c r="F51" s="44" t="s">
        <v>8</v>
      </c>
      <c r="G51" s="3" t="s">
        <v>9</v>
      </c>
      <c r="H51">
        <f t="shared" si="7"/>
        <v>277.77777777</v>
      </c>
      <c r="I51">
        <f t="shared" si="4"/>
        <v>-50</v>
      </c>
    </row>
    <row r="52" spans="2:9" x14ac:dyDescent="0.3">
      <c r="B52" s="4">
        <v>45028.084722222222</v>
      </c>
      <c r="C52" s="44">
        <v>277.7</v>
      </c>
      <c r="D52" s="44">
        <v>69.42</v>
      </c>
      <c r="E52" s="44">
        <f t="shared" si="6"/>
        <v>0.24998199495858842</v>
      </c>
      <c r="F52" s="44" t="s">
        <v>10</v>
      </c>
      <c r="G52" s="3" t="s">
        <v>9</v>
      </c>
      <c r="H52">
        <f t="shared" si="7"/>
        <v>-277.7</v>
      </c>
      <c r="I52">
        <f t="shared" si="4"/>
        <v>69.42</v>
      </c>
    </row>
    <row r="53" spans="2:9" x14ac:dyDescent="0.3">
      <c r="B53" s="4">
        <v>45028.40902777778</v>
      </c>
      <c r="C53" s="44">
        <v>555.55555000000004</v>
      </c>
      <c r="D53" s="44">
        <v>100</v>
      </c>
      <c r="E53" s="44">
        <f t="shared" si="6"/>
        <v>0.1800000018</v>
      </c>
      <c r="F53" s="44" t="s">
        <v>8</v>
      </c>
      <c r="G53" s="3" t="s">
        <v>9</v>
      </c>
      <c r="H53">
        <f t="shared" si="7"/>
        <v>555.55555000000004</v>
      </c>
      <c r="I53">
        <f t="shared" si="4"/>
        <v>-100</v>
      </c>
    </row>
    <row r="54" spans="2:9" x14ac:dyDescent="0.3">
      <c r="B54" s="4">
        <v>45030.425694444442</v>
      </c>
      <c r="C54" s="44">
        <v>324.70799575000001</v>
      </c>
      <c r="D54" s="44">
        <v>69.42</v>
      </c>
      <c r="E54" s="44">
        <f t="shared" si="6"/>
        <v>0.2137920867629266</v>
      </c>
      <c r="F54" s="44" t="s">
        <v>8</v>
      </c>
      <c r="G54" s="3" t="s">
        <v>9</v>
      </c>
      <c r="H54">
        <f t="shared" si="7"/>
        <v>324.70799575000001</v>
      </c>
      <c r="I54">
        <f t="shared" si="4"/>
        <v>-69.42</v>
      </c>
    </row>
    <row r="55" spans="2:9" x14ac:dyDescent="0.3">
      <c r="B55" s="4">
        <v>45041.750381944446</v>
      </c>
      <c r="C55" s="44">
        <v>237.3125</v>
      </c>
      <c r="D55" s="44">
        <v>34.5</v>
      </c>
      <c r="E55" s="44">
        <f t="shared" si="6"/>
        <v>0.14537792994469317</v>
      </c>
      <c r="F55" s="44" t="s">
        <v>8</v>
      </c>
      <c r="G55" s="3" t="s">
        <v>9</v>
      </c>
      <c r="H55">
        <f t="shared" si="7"/>
        <v>237.3125</v>
      </c>
      <c r="I55">
        <f t="shared" si="4"/>
        <v>-34.5</v>
      </c>
    </row>
    <row r="56" spans="2:9" x14ac:dyDescent="0.3">
      <c r="B56" s="4">
        <v>45042.306944444441</v>
      </c>
      <c r="C56" s="44">
        <v>94</v>
      </c>
      <c r="D56" s="44">
        <v>11</v>
      </c>
      <c r="E56" s="44">
        <f t="shared" si="6"/>
        <v>0.11702127659574468</v>
      </c>
      <c r="F56" s="44" t="s">
        <v>8</v>
      </c>
      <c r="G56" s="3" t="s">
        <v>9</v>
      </c>
      <c r="H56">
        <f t="shared" si="7"/>
        <v>94</v>
      </c>
      <c r="I56">
        <f t="shared" si="4"/>
        <v>-11</v>
      </c>
    </row>
    <row r="57" spans="2:9" x14ac:dyDescent="0.3">
      <c r="B57" s="4">
        <v>45046.548611111109</v>
      </c>
      <c r="C57" s="44">
        <v>254.88957284</v>
      </c>
      <c r="D57" s="44">
        <v>30</v>
      </c>
      <c r="E57" s="44">
        <f t="shared" si="6"/>
        <v>0.11769802768209622</v>
      </c>
      <c r="F57" s="44" t="s">
        <v>8</v>
      </c>
      <c r="G57" s="3" t="s">
        <v>9</v>
      </c>
      <c r="H57">
        <f t="shared" si="7"/>
        <v>254.88957284</v>
      </c>
      <c r="I57">
        <f t="shared" si="4"/>
        <v>-30</v>
      </c>
    </row>
    <row r="58" spans="2:9" x14ac:dyDescent="0.3">
      <c r="B58" s="4">
        <v>45049.854861111111</v>
      </c>
      <c r="C58" s="44">
        <v>270.51654723000001</v>
      </c>
      <c r="D58" s="44">
        <v>30</v>
      </c>
      <c r="E58" s="44">
        <f t="shared" si="6"/>
        <v>0.11089894613542159</v>
      </c>
      <c r="F58" s="44" t="s">
        <v>8</v>
      </c>
      <c r="G58" s="3" t="s">
        <v>9</v>
      </c>
      <c r="H58">
        <f t="shared" si="7"/>
        <v>270.51654723000001</v>
      </c>
      <c r="I58">
        <f t="shared" si="4"/>
        <v>-30</v>
      </c>
    </row>
    <row r="59" spans="2:9" x14ac:dyDescent="0.3">
      <c r="B59" s="47">
        <v>45073.570787037039</v>
      </c>
      <c r="C59" s="48">
        <v>676.52</v>
      </c>
      <c r="D59" s="48">
        <v>50</v>
      </c>
      <c r="E59" s="48">
        <f t="shared" si="6"/>
        <v>7.3907645006799499E-2</v>
      </c>
      <c r="F59" s="7" t="s">
        <v>8</v>
      </c>
      <c r="G59" s="3" t="s">
        <v>9</v>
      </c>
      <c r="H59">
        <f t="shared" si="7"/>
        <v>676.52</v>
      </c>
      <c r="I59">
        <f t="shared" si="4"/>
        <v>-50</v>
      </c>
    </row>
    <row r="60" spans="2:9" x14ac:dyDescent="0.3">
      <c r="B60" s="4">
        <v>45101.782094907408</v>
      </c>
      <c r="C60" s="44">
        <v>676</v>
      </c>
      <c r="D60" s="44">
        <v>68.479900000000001</v>
      </c>
      <c r="E60" s="44">
        <f t="shared" si="6"/>
        <v>0.10130162721893492</v>
      </c>
      <c r="F60" s="44" t="s">
        <v>10</v>
      </c>
      <c r="G60" s="3" t="s">
        <v>9</v>
      </c>
      <c r="H60">
        <f t="shared" si="7"/>
        <v>-676</v>
      </c>
      <c r="I60">
        <f t="shared" si="4"/>
        <v>68.479900000000001</v>
      </c>
    </row>
    <row r="61" spans="2:9" x14ac:dyDescent="0.3">
      <c r="B61" s="4">
        <v>45104.808113425926</v>
      </c>
      <c r="C61" s="44">
        <v>270</v>
      </c>
      <c r="D61" s="44">
        <v>39.15</v>
      </c>
      <c r="E61" s="44">
        <f t="shared" si="6"/>
        <v>0.14499999999999999</v>
      </c>
      <c r="F61" s="44" t="s">
        <v>10</v>
      </c>
      <c r="G61" s="3" t="s">
        <v>9</v>
      </c>
      <c r="H61">
        <f t="shared" si="7"/>
        <v>-270</v>
      </c>
      <c r="I61">
        <f t="shared" si="4"/>
        <v>39.15</v>
      </c>
    </row>
    <row r="62" spans="2:9" x14ac:dyDescent="0.3">
      <c r="B62" s="4">
        <v>45110.330208333333</v>
      </c>
      <c r="C62" s="44">
        <v>301.95999999999998</v>
      </c>
      <c r="D62" s="44">
        <v>39.15</v>
      </c>
      <c r="E62" s="44">
        <f t="shared" si="6"/>
        <v>0.12965293416346538</v>
      </c>
      <c r="F62" s="44" t="s">
        <v>8</v>
      </c>
      <c r="G62" s="3" t="s">
        <v>9</v>
      </c>
      <c r="H62">
        <f t="shared" si="7"/>
        <v>301.95999999999998</v>
      </c>
      <c r="I62">
        <f t="shared" si="4"/>
        <v>-39.15</v>
      </c>
    </row>
    <row r="63" spans="2:9" x14ac:dyDescent="0.3">
      <c r="B63" s="4">
        <v>45153.432754629634</v>
      </c>
      <c r="C63" s="44">
        <v>616.66999999999996</v>
      </c>
      <c r="D63" s="44">
        <v>39.15</v>
      </c>
      <c r="E63" s="44">
        <f t="shared" si="6"/>
        <v>6.3486143318144228E-2</v>
      </c>
      <c r="F63" s="44" t="s">
        <v>8</v>
      </c>
      <c r="G63" s="49" t="s">
        <v>9</v>
      </c>
      <c r="H63">
        <f t="shared" si="7"/>
        <v>616.66999999999996</v>
      </c>
      <c r="I63">
        <f t="shared" si="4"/>
        <v>-39.15</v>
      </c>
    </row>
    <row r="64" spans="2:9" x14ac:dyDescent="0.3">
      <c r="B64" s="4">
        <v>45154.350914351853</v>
      </c>
      <c r="C64" s="44">
        <v>616</v>
      </c>
      <c r="D64" s="44">
        <v>30.72</v>
      </c>
      <c r="E64" s="44">
        <f t="shared" si="6"/>
        <v>4.987012987012987E-2</v>
      </c>
      <c r="F64" s="44" t="s">
        <v>10</v>
      </c>
      <c r="G64" s="3" t="s">
        <v>9</v>
      </c>
      <c r="H64">
        <f t="shared" si="7"/>
        <v>-616</v>
      </c>
      <c r="I64">
        <f t="shared" si="4"/>
        <v>30.72</v>
      </c>
    </row>
    <row r="65" spans="2:9" x14ac:dyDescent="0.3">
      <c r="B65" s="4">
        <v>45156.606666666667</v>
      </c>
      <c r="C65" s="7">
        <v>1770.2</v>
      </c>
      <c r="D65" s="7">
        <v>60.85</v>
      </c>
      <c r="E65" s="7">
        <f t="shared" si="6"/>
        <v>3.4374646932549997E-2</v>
      </c>
      <c r="F65" s="7" t="s">
        <v>10</v>
      </c>
      <c r="G65" s="3" t="s">
        <v>9</v>
      </c>
      <c r="H65">
        <f t="shared" si="7"/>
        <v>-1770.2</v>
      </c>
      <c r="I65">
        <f t="shared" si="4"/>
        <v>60.85</v>
      </c>
    </row>
    <row r="66" spans="2:9" x14ac:dyDescent="0.3">
      <c r="H66">
        <f t="shared" si="7"/>
        <v>0</v>
      </c>
      <c r="I66">
        <f t="shared" si="4"/>
        <v>0</v>
      </c>
    </row>
    <row r="67" spans="2:9" x14ac:dyDescent="0.3">
      <c r="H67">
        <f t="shared" si="7"/>
        <v>0</v>
      </c>
      <c r="I67">
        <f t="shared" si="4"/>
        <v>0</v>
      </c>
    </row>
  </sheetData>
  <mergeCells count="1">
    <mergeCell ref="B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E13" sqref="E13"/>
    </sheetView>
  </sheetViews>
  <sheetFormatPr defaultRowHeight="14.4" x14ac:dyDescent="0.3"/>
  <cols>
    <col min="2" max="2" width="16.6640625" style="46" bestFit="1" customWidth="1"/>
    <col min="3" max="3" width="9.88671875" style="46" bestFit="1" customWidth="1"/>
    <col min="7" max="7" width="17.5546875" style="46" bestFit="1" customWidth="1"/>
    <col min="13" max="13" width="11.88671875" style="46" bestFit="1" customWidth="1"/>
  </cols>
  <sheetData>
    <row r="3" spans="2:13" x14ac:dyDescent="0.3">
      <c r="B3" s="64" t="s">
        <v>113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4">
        <v>45270.654745370368</v>
      </c>
      <c r="C5" s="50">
        <v>2812.7145999999998</v>
      </c>
      <c r="D5" s="44">
        <v>10</v>
      </c>
      <c r="E5" s="44">
        <f>IF(F5&lt;&gt;"ACCUMULATION",D5/C5,0)</f>
        <v>3.555284279464401E-3</v>
      </c>
      <c r="F5" s="44" t="s">
        <v>8</v>
      </c>
      <c r="G5" s="44" t="s">
        <v>114</v>
      </c>
      <c r="H5">
        <f>IF($F5="BUY",C5,-C5)</f>
        <v>2812.7145999999998</v>
      </c>
      <c r="I5">
        <f>IF($F5="BUY",-D5,D5)</f>
        <v>-10</v>
      </c>
    </row>
    <row r="6" spans="2:13" x14ac:dyDescent="0.3">
      <c r="B6" s="4">
        <v>45286.934907407413</v>
      </c>
      <c r="C6" s="50">
        <v>2812.7145999999998</v>
      </c>
      <c r="D6" s="51">
        <v>31.88</v>
      </c>
      <c r="E6" s="44">
        <f>IF(F6&lt;&gt;"ACCUMULATION",D6/C6,0)</f>
        <v>1.133424628293251E-2</v>
      </c>
      <c r="F6" s="44" t="s">
        <v>10</v>
      </c>
      <c r="G6" s="44" t="s">
        <v>114</v>
      </c>
      <c r="H6">
        <f>IF($F6="BUY",C6,-C6)</f>
        <v>-2812.7145999999998</v>
      </c>
      <c r="I6">
        <f>IF($F6="BUY",-D6,D6)</f>
        <v>31.88</v>
      </c>
    </row>
    <row r="7" spans="2:13" x14ac:dyDescent="0.3">
      <c r="B7" s="4"/>
      <c r="C7" s="44"/>
      <c r="D7" s="44"/>
      <c r="E7" s="44"/>
      <c r="F7" s="44"/>
      <c r="G7" s="44"/>
    </row>
    <row r="8" spans="2:13" x14ac:dyDescent="0.3">
      <c r="B8" s="6"/>
      <c r="C8" s="43"/>
      <c r="D8" s="43"/>
      <c r="E8" s="43"/>
      <c r="F8" s="43"/>
    </row>
    <row r="9" spans="2:13" x14ac:dyDescent="0.3">
      <c r="B9" s="6"/>
      <c r="C9" s="43"/>
      <c r="D9" s="43"/>
      <c r="E9" s="43"/>
      <c r="F9" s="43"/>
    </row>
    <row r="10" spans="2:13" x14ac:dyDescent="0.3">
      <c r="B10" s="6"/>
      <c r="C10" s="43"/>
      <c r="D10" s="43"/>
      <c r="E10" s="43"/>
      <c r="F10" s="43"/>
    </row>
    <row r="11" spans="2:13" x14ac:dyDescent="0.3">
      <c r="B11" s="6"/>
      <c r="C11" s="43"/>
      <c r="D11" s="43"/>
      <c r="E11" s="43"/>
      <c r="F11" s="43"/>
    </row>
    <row r="12" spans="2:13" x14ac:dyDescent="0.3">
      <c r="B12" s="6"/>
      <c r="C12" s="43"/>
      <c r="D12" s="43"/>
      <c r="E12" s="43"/>
      <c r="F12" s="43"/>
    </row>
    <row r="13" spans="2:13" x14ac:dyDescent="0.3">
      <c r="B13" s="6"/>
      <c r="C13" s="43"/>
      <c r="D13" s="43"/>
      <c r="E13" s="43"/>
      <c r="F13" s="43"/>
    </row>
    <row r="14" spans="2:13" x14ac:dyDescent="0.3">
      <c r="B14" s="6"/>
      <c r="C14" s="43"/>
      <c r="D14" s="43"/>
      <c r="E14" s="43"/>
      <c r="F14" s="43"/>
    </row>
    <row r="15" spans="2:13" x14ac:dyDescent="0.3">
      <c r="B15" s="6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6"/>
      <c r="C16" s="43"/>
      <c r="D16" s="43"/>
      <c r="E16" s="43"/>
      <c r="F16" s="43"/>
      <c r="K16">
        <f>SUM($H1:$H32)</f>
        <v>0</v>
      </c>
      <c r="L16">
        <f>-SUM($I1:$I32)</f>
        <v>-21.88</v>
      </c>
      <c r="M16" t="e">
        <f>L16/K16</f>
        <v>#DIV/0!</v>
      </c>
    </row>
  </sheetData>
  <mergeCells count="1">
    <mergeCell ref="B3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F16" sqref="F16"/>
    </sheetView>
  </sheetViews>
  <sheetFormatPr defaultRowHeight="14.4" x14ac:dyDescent="0.3"/>
  <cols>
    <col min="2" max="2" width="15.6640625" style="46" bestFit="1" customWidth="1"/>
    <col min="3" max="3" width="9" style="46" bestFit="1" customWidth="1"/>
    <col min="7" max="7" width="16.5546875" style="46" bestFit="1" customWidth="1"/>
  </cols>
  <sheetData>
    <row r="3" spans="2:13" x14ac:dyDescent="0.3">
      <c r="B3" s="64" t="s">
        <v>115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31">
        <v>45312.633842592593</v>
      </c>
      <c r="C5" s="44">
        <v>3774.85</v>
      </c>
      <c r="D5" s="44">
        <v>50.034999999999997</v>
      </c>
      <c r="E5" s="44">
        <f>IF(F5&lt;&gt;"ACCUMULATION",D5/C5,0)</f>
        <v>1.3254831317800708E-2</v>
      </c>
      <c r="F5" s="44" t="s">
        <v>8</v>
      </c>
      <c r="G5" s="44" t="s">
        <v>110</v>
      </c>
      <c r="H5">
        <f>IF($F5="BUY",C5,-C5)</f>
        <v>3774.85</v>
      </c>
      <c r="I5">
        <f>IF($F5="BUY",-D5,D5)</f>
        <v>-50.034999999999997</v>
      </c>
    </row>
    <row r="6" spans="2:13" x14ac:dyDescent="0.3">
      <c r="B6" s="31">
        <v>45414.949583333328</v>
      </c>
      <c r="C6" s="44">
        <v>3116</v>
      </c>
      <c r="D6" s="58">
        <v>100</v>
      </c>
      <c r="E6" s="44">
        <f>IF(F6&lt;&gt;"ACCUMULATION",D6/C6,0)</f>
        <v>3.2092426187419767E-2</v>
      </c>
      <c r="F6" s="44" t="s">
        <v>8</v>
      </c>
      <c r="G6" s="44" t="s">
        <v>110</v>
      </c>
      <c r="H6">
        <f>IF($F6="BUY",C6,-C6)</f>
        <v>3116</v>
      </c>
      <c r="I6">
        <f>IF($F6="BUY",-D6,D6)</f>
        <v>-100</v>
      </c>
    </row>
    <row r="7" spans="2:13" x14ac:dyDescent="0.3">
      <c r="B7" s="31"/>
      <c r="C7" s="44"/>
      <c r="D7" s="44"/>
      <c r="E7" s="44"/>
      <c r="F7" s="44"/>
      <c r="G7" s="44"/>
    </row>
    <row r="8" spans="2:13" x14ac:dyDescent="0.3">
      <c r="B8" s="6"/>
      <c r="C8" s="43"/>
      <c r="D8" s="43"/>
      <c r="E8" s="43"/>
      <c r="F8" s="43"/>
    </row>
    <row r="9" spans="2:13" x14ac:dyDescent="0.3">
      <c r="B9" s="6"/>
      <c r="C9" s="43"/>
      <c r="D9" s="43"/>
      <c r="E9" s="43"/>
      <c r="F9" s="43"/>
    </row>
    <row r="10" spans="2:13" x14ac:dyDescent="0.3">
      <c r="B10" s="6"/>
      <c r="C10" s="43"/>
      <c r="D10" s="43"/>
      <c r="E10" s="43"/>
      <c r="F10" s="43"/>
    </row>
    <row r="11" spans="2:13" x14ac:dyDescent="0.3">
      <c r="B11" s="6"/>
      <c r="C11" s="43"/>
      <c r="D11" s="43"/>
      <c r="E11" s="43"/>
      <c r="F11" s="43"/>
    </row>
    <row r="12" spans="2:13" x14ac:dyDescent="0.3">
      <c r="B12" s="6"/>
      <c r="C12" s="43"/>
      <c r="D12" s="43"/>
      <c r="E12" s="43"/>
      <c r="F12" s="43"/>
    </row>
    <row r="13" spans="2:13" x14ac:dyDescent="0.3">
      <c r="B13" s="6"/>
      <c r="C13" s="43"/>
      <c r="D13" s="43"/>
      <c r="E13" s="43"/>
      <c r="F13" s="43"/>
    </row>
    <row r="14" spans="2:13" x14ac:dyDescent="0.3">
      <c r="B14" s="6"/>
      <c r="C14" s="43"/>
      <c r="D14" s="43"/>
      <c r="E14" s="43"/>
      <c r="F14" s="43"/>
    </row>
    <row r="15" spans="2:13" x14ac:dyDescent="0.3">
      <c r="B15" s="6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6"/>
      <c r="C16" s="43"/>
      <c r="D16" s="43"/>
      <c r="E16" s="43"/>
      <c r="F16" s="43"/>
      <c r="K16">
        <f>SUM($H1:$H32)</f>
        <v>6890.85</v>
      </c>
      <c r="L16">
        <f>-SUM($I1:$I32)</f>
        <v>150.035</v>
      </c>
      <c r="M16">
        <f>L16/K16</f>
        <v>2.1773075890492464E-2</v>
      </c>
    </row>
  </sheetData>
  <mergeCells count="1">
    <mergeCell ref="B3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C4" sqref="A1:XFD1048576"/>
    </sheetView>
  </sheetViews>
  <sheetFormatPr defaultRowHeight="14.4" x14ac:dyDescent="0.3"/>
  <cols>
    <col min="2" max="2" width="14.6640625" style="46" bestFit="1" customWidth="1"/>
    <col min="7" max="7" width="16.5546875" style="46" bestFit="1" customWidth="1"/>
  </cols>
  <sheetData>
    <row r="3" spans="2:13" x14ac:dyDescent="0.3">
      <c r="B3" s="64" t="s">
        <v>116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4">
        <v>45314.944386574083</v>
      </c>
      <c r="C5" s="44">
        <v>323.23</v>
      </c>
      <c r="D5" s="44">
        <v>34.901383000000003</v>
      </c>
      <c r="E5" s="44">
        <f>IF(F5&lt;&gt;"ACCUMULATION",D5/C5,0)</f>
        <v>0.10797692974043251</v>
      </c>
      <c r="F5" s="44" t="s">
        <v>8</v>
      </c>
      <c r="G5" s="44" t="s">
        <v>110</v>
      </c>
      <c r="H5" s="43">
        <f>IF($F5="BUY",C5,-C5)</f>
        <v>323.23</v>
      </c>
      <c r="I5" s="43">
        <f>IF($F5="BUY",-D5,D5)</f>
        <v>-34.901383000000003</v>
      </c>
    </row>
    <row r="6" spans="2:13" x14ac:dyDescent="0.3">
      <c r="B6" s="4">
        <v>45315.994143518517</v>
      </c>
      <c r="C6" s="44">
        <v>135.46</v>
      </c>
      <c r="D6" s="44">
        <v>16</v>
      </c>
      <c r="E6" s="44">
        <f>IF(F6&lt;&gt;"ACCUMULATION",D6/C6,0)</f>
        <v>0.11811604901816034</v>
      </c>
      <c r="F6" s="44" t="s">
        <v>8</v>
      </c>
      <c r="G6" s="44" t="s">
        <v>110</v>
      </c>
      <c r="H6" s="43">
        <f>IF($F6="BUY",C6,-C6)</f>
        <v>135.46</v>
      </c>
      <c r="I6" s="43">
        <f>IF($F6="BUY",-D6,D6)</f>
        <v>-16</v>
      </c>
    </row>
    <row r="7" spans="2:13" x14ac:dyDescent="0.3">
      <c r="B7" s="4">
        <v>45378.871979166674</v>
      </c>
      <c r="C7" s="44">
        <v>902.64748673999998</v>
      </c>
      <c r="D7" s="44">
        <v>150</v>
      </c>
      <c r="E7" s="44">
        <f>IF(F7&lt;&gt;"ACCUMULATION",D7/C7,0)</f>
        <v>0.16617782933372996</v>
      </c>
      <c r="F7" s="44" t="s">
        <v>8</v>
      </c>
      <c r="G7" s="44" t="s">
        <v>114</v>
      </c>
      <c r="H7" s="43">
        <f>IF($F7="BUY",C7,-C7)</f>
        <v>902.64748673999998</v>
      </c>
      <c r="I7" s="43">
        <f>IF($F7="BUY",-D7,D7)</f>
        <v>-150</v>
      </c>
    </row>
    <row r="8" spans="2:13" x14ac:dyDescent="0.3">
      <c r="B8" s="6"/>
      <c r="C8" s="43"/>
      <c r="D8" s="43"/>
      <c r="E8" s="43"/>
      <c r="F8" s="43"/>
    </row>
    <row r="9" spans="2:13" x14ac:dyDescent="0.3">
      <c r="B9" s="6"/>
      <c r="C9" s="43"/>
      <c r="D9" s="43"/>
      <c r="E9" s="43"/>
      <c r="F9" s="43"/>
    </row>
    <row r="10" spans="2:13" x14ac:dyDescent="0.3">
      <c r="B10" s="6"/>
      <c r="C10" s="43"/>
      <c r="D10" s="43"/>
      <c r="E10" s="43"/>
      <c r="F10" s="43"/>
    </row>
    <row r="11" spans="2:13" x14ac:dyDescent="0.3">
      <c r="B11" s="6"/>
      <c r="C11" s="43"/>
      <c r="D11" s="43"/>
      <c r="E11" s="43"/>
      <c r="F11" s="43"/>
    </row>
    <row r="12" spans="2:13" x14ac:dyDescent="0.3">
      <c r="B12" s="6"/>
      <c r="C12" s="43"/>
      <c r="D12" s="43"/>
      <c r="E12" s="43"/>
      <c r="F12" s="43"/>
    </row>
    <row r="13" spans="2:13" x14ac:dyDescent="0.3">
      <c r="B13" s="6"/>
      <c r="C13" s="43"/>
      <c r="D13" s="43"/>
      <c r="E13" s="43"/>
      <c r="F13" s="43"/>
    </row>
    <row r="14" spans="2:13" x14ac:dyDescent="0.3">
      <c r="B14" s="6"/>
      <c r="C14" s="43"/>
      <c r="D14" s="43"/>
      <c r="E14" s="43"/>
      <c r="F14" s="43"/>
    </row>
    <row r="15" spans="2:13" x14ac:dyDescent="0.3">
      <c r="B15" s="6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6"/>
      <c r="C16" s="43"/>
      <c r="D16" s="43"/>
      <c r="E16" s="43"/>
      <c r="F16" s="43"/>
      <c r="K16">
        <f>SUM($H1:$H32)</f>
        <v>1361.33748674</v>
      </c>
      <c r="L16">
        <f>-SUM($I1:$I32)</f>
        <v>200.90138300000001</v>
      </c>
      <c r="M16">
        <f>L16/K16</f>
        <v>0.14757647163680132</v>
      </c>
    </row>
  </sheetData>
  <mergeCells count="1">
    <mergeCell ref="B3:F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D6" sqref="A1:XFD1048576"/>
    </sheetView>
  </sheetViews>
  <sheetFormatPr defaultRowHeight="14.4" x14ac:dyDescent="0.3"/>
  <cols>
    <col min="2" max="2" width="17.33203125" style="46" bestFit="1" customWidth="1"/>
    <col min="5" max="5" width="9.5546875" style="46" bestFit="1" customWidth="1"/>
    <col min="7" max="7" width="10" style="46" bestFit="1" customWidth="1"/>
  </cols>
  <sheetData>
    <row r="3" spans="2:13" x14ac:dyDescent="0.3">
      <c r="B3" s="64" t="s">
        <v>117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ht="16.8" customHeight="1" x14ac:dyDescent="0.3">
      <c r="B5" s="52">
        <v>45287.05190972222</v>
      </c>
      <c r="C5" s="44">
        <v>511</v>
      </c>
      <c r="D5" s="44">
        <v>31.860849999999999</v>
      </c>
      <c r="E5" s="44">
        <f>IF(F5&lt;&gt;"ACCUMULATION",D5/C5,0)</f>
        <v>6.2349999999999996E-2</v>
      </c>
      <c r="F5" s="44" t="s">
        <v>8</v>
      </c>
      <c r="G5" s="44" t="s">
        <v>118</v>
      </c>
      <c r="H5" s="43">
        <f>IF($F5="BUY",C5,-C5)</f>
        <v>511</v>
      </c>
      <c r="I5" s="43">
        <f>IF($F5="BUY",-D5,D5)</f>
        <v>-31.860849999999999</v>
      </c>
    </row>
    <row r="6" spans="2:13" x14ac:dyDescent="0.3">
      <c r="B6" s="4">
        <v>45287.31046296296</v>
      </c>
      <c r="C6" s="44">
        <v>22</v>
      </c>
      <c r="D6" s="44">
        <v>1.2685200000000001</v>
      </c>
      <c r="E6" s="44">
        <f>IF(F6&lt;&gt;"ACCUMULATION",D6/C6,0)</f>
        <v>5.7660000000000003E-2</v>
      </c>
      <c r="F6" s="44" t="s">
        <v>8</v>
      </c>
      <c r="G6" s="44" t="s">
        <v>118</v>
      </c>
      <c r="H6" s="43">
        <f>IF($F6="BUY",C6,-C6)</f>
        <v>22</v>
      </c>
      <c r="I6" s="43">
        <f>IF($F6="BUY",-D6,D6)</f>
        <v>-1.2685200000000001</v>
      </c>
    </row>
    <row r="7" spans="2:13" x14ac:dyDescent="0.3">
      <c r="B7" s="4">
        <v>45301.81050925926</v>
      </c>
      <c r="C7" s="44" t="s">
        <v>119</v>
      </c>
      <c r="D7" s="44">
        <v>42.349020000000003</v>
      </c>
      <c r="E7" s="44" t="e">
        <f>IF(F7&lt;&gt;"ACCUMULATION",D7/C7,0)</f>
        <v>#VALUE!</v>
      </c>
      <c r="F7" s="44" t="s">
        <v>8</v>
      </c>
      <c r="G7" s="44" t="s">
        <v>118</v>
      </c>
      <c r="H7" s="43">
        <v>836</v>
      </c>
      <c r="I7" s="43">
        <f>IF($F7="BUY",-D7,D7)</f>
        <v>-42.349020000000003</v>
      </c>
    </row>
    <row r="8" spans="2:13" x14ac:dyDescent="0.3">
      <c r="B8" s="6"/>
      <c r="C8" s="43">
        <v>33</v>
      </c>
      <c r="D8" s="43"/>
      <c r="E8" s="44">
        <f>IF(F8&lt;&gt;"ACCUMULATION",D8/C8,0)</f>
        <v>0</v>
      </c>
      <c r="F8" s="44" t="s">
        <v>8</v>
      </c>
      <c r="G8" s="44" t="s">
        <v>118</v>
      </c>
      <c r="H8" s="43"/>
      <c r="I8" s="43">
        <f>IF($F8="BUY",-D8,D8)</f>
        <v>0</v>
      </c>
    </row>
    <row r="9" spans="2:13" x14ac:dyDescent="0.3">
      <c r="B9" s="6"/>
      <c r="C9" s="43"/>
      <c r="D9" s="43"/>
      <c r="E9" s="43"/>
      <c r="F9" s="43"/>
      <c r="H9" s="43"/>
    </row>
    <row r="10" spans="2:13" x14ac:dyDescent="0.3">
      <c r="B10" s="6"/>
      <c r="C10" s="43"/>
      <c r="D10" s="43"/>
      <c r="E10" s="43"/>
      <c r="F10" s="43"/>
    </row>
    <row r="11" spans="2:13" x14ac:dyDescent="0.3">
      <c r="B11" s="6"/>
      <c r="C11" s="43"/>
      <c r="D11" s="43"/>
      <c r="E11" s="43"/>
      <c r="F11" s="43"/>
    </row>
    <row r="12" spans="2:13" x14ac:dyDescent="0.3">
      <c r="B12" s="6"/>
      <c r="C12" s="43"/>
      <c r="D12" s="43"/>
      <c r="E12" s="43"/>
      <c r="F12" s="43"/>
    </row>
    <row r="13" spans="2:13" x14ac:dyDescent="0.3">
      <c r="B13" s="6"/>
      <c r="C13" s="43"/>
      <c r="D13" s="43"/>
      <c r="E13" s="43"/>
      <c r="F13" s="43"/>
    </row>
    <row r="14" spans="2:13" x14ac:dyDescent="0.3">
      <c r="B14" s="6"/>
      <c r="C14" s="43"/>
      <c r="D14" s="43"/>
      <c r="E14" s="43"/>
      <c r="F14" s="43"/>
    </row>
    <row r="15" spans="2:13" x14ac:dyDescent="0.3">
      <c r="B15" s="6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6"/>
      <c r="C16" s="43"/>
      <c r="D16" s="43"/>
      <c r="E16" s="43"/>
      <c r="F16" s="43"/>
      <c r="K16">
        <f>SUM(H5:H11)</f>
        <v>1369</v>
      </c>
      <c r="L16">
        <f>-SUM($I1:$I32)</f>
        <v>75.478390000000005</v>
      </c>
      <c r="M16">
        <f>L16/K16</f>
        <v>5.5133959094229371E-2</v>
      </c>
    </row>
  </sheetData>
  <mergeCells count="1">
    <mergeCell ref="B3:F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C5" sqref="A1:XFD1048576"/>
    </sheetView>
  </sheetViews>
  <sheetFormatPr defaultRowHeight="14.4" x14ac:dyDescent="0.3"/>
  <cols>
    <col min="2" max="2" width="14.6640625" style="46" bestFit="1" customWidth="1"/>
    <col min="7" max="7" width="10" style="46" bestFit="1" customWidth="1"/>
  </cols>
  <sheetData>
    <row r="3" spans="2:13" x14ac:dyDescent="0.3">
      <c r="B3" s="64" t="s">
        <v>120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4">
        <v>45316.01835648148</v>
      </c>
      <c r="C5" s="44">
        <v>397.77</v>
      </c>
      <c r="D5" s="44">
        <v>50</v>
      </c>
      <c r="E5" s="44">
        <f>IF(F5&lt;&gt;"ACCUMULATION",D5/C5,0)</f>
        <v>0.12570078185886316</v>
      </c>
      <c r="F5" s="44" t="s">
        <v>8</v>
      </c>
      <c r="G5" s="44" t="s">
        <v>110</v>
      </c>
      <c r="H5">
        <f>IF($F5="BUY",C5,-C5)</f>
        <v>397.77</v>
      </c>
      <c r="I5">
        <f>IF($F5="BUY",-D5,D5)</f>
        <v>-50</v>
      </c>
    </row>
    <row r="6" spans="2:13" x14ac:dyDescent="0.3">
      <c r="B6" s="4"/>
      <c r="C6" s="50"/>
      <c r="D6" s="51"/>
      <c r="E6" s="44"/>
      <c r="F6" s="44"/>
      <c r="G6" s="44"/>
    </row>
    <row r="7" spans="2:13" x14ac:dyDescent="0.3">
      <c r="B7" s="4"/>
      <c r="C7" s="44"/>
      <c r="D7" s="44"/>
      <c r="E7" s="44"/>
      <c r="F7" s="44"/>
      <c r="G7" s="44"/>
    </row>
    <row r="8" spans="2:13" x14ac:dyDescent="0.3">
      <c r="B8" s="6"/>
      <c r="C8" s="43"/>
      <c r="D8" s="43"/>
      <c r="E8" s="43"/>
      <c r="F8" s="43"/>
    </row>
    <row r="9" spans="2:13" x14ac:dyDescent="0.3">
      <c r="B9" s="6"/>
      <c r="C9" s="43"/>
      <c r="D9" s="43"/>
      <c r="E9" s="43"/>
      <c r="F9" s="43"/>
    </row>
    <row r="10" spans="2:13" x14ac:dyDescent="0.3">
      <c r="B10" s="6"/>
      <c r="C10" s="43"/>
      <c r="D10" s="43"/>
      <c r="E10" s="43"/>
      <c r="F10" s="43"/>
    </row>
    <row r="11" spans="2:13" x14ac:dyDescent="0.3">
      <c r="B11" s="6"/>
      <c r="C11" s="43"/>
      <c r="D11" s="43"/>
      <c r="E11" s="43"/>
      <c r="F11" s="43"/>
    </row>
    <row r="12" spans="2:13" x14ac:dyDescent="0.3">
      <c r="B12" s="6"/>
      <c r="C12" s="43"/>
      <c r="D12" s="43"/>
      <c r="E12" s="43"/>
      <c r="F12" s="43"/>
    </row>
    <row r="13" spans="2:13" x14ac:dyDescent="0.3">
      <c r="B13" s="6"/>
      <c r="C13" s="43"/>
      <c r="D13" s="43"/>
      <c r="E13" s="43"/>
      <c r="F13" s="43"/>
    </row>
    <row r="14" spans="2:13" x14ac:dyDescent="0.3">
      <c r="B14" s="6"/>
      <c r="C14" s="43"/>
      <c r="D14" s="43"/>
      <c r="E14" s="43"/>
      <c r="F14" s="43"/>
    </row>
    <row r="15" spans="2:13" x14ac:dyDescent="0.3">
      <c r="B15" s="6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6"/>
      <c r="C16" s="43"/>
      <c r="D16" s="43"/>
      <c r="E16" s="43"/>
      <c r="F16" s="43"/>
      <c r="K16">
        <f>SUM($H1:$H32)</f>
        <v>397.77</v>
      </c>
      <c r="L16">
        <f>-SUM($I1:$I32)</f>
        <v>50</v>
      </c>
      <c r="M16">
        <f>L16/K16</f>
        <v>0.12570078185886316</v>
      </c>
    </row>
  </sheetData>
  <mergeCells count="1">
    <mergeCell ref="B3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D11" sqref="D11"/>
    </sheetView>
  </sheetViews>
  <sheetFormatPr defaultRowHeight="14.4" x14ac:dyDescent="0.3"/>
  <cols>
    <col min="2" max="2" width="14.6640625" style="46" bestFit="1" customWidth="1"/>
    <col min="4" max="4" width="9.21875" style="46" bestFit="1" customWidth="1"/>
    <col min="7" max="7" width="27.88671875" style="46" customWidth="1"/>
    <col min="8" max="8" width="44.21875" style="46" bestFit="1" customWidth="1"/>
  </cols>
  <sheetData>
    <row r="3" spans="2:14" x14ac:dyDescent="0.3">
      <c r="B3" s="64" t="s">
        <v>121</v>
      </c>
      <c r="C3" s="65"/>
      <c r="D3" s="65"/>
      <c r="E3" s="65"/>
      <c r="F3" s="65"/>
    </row>
    <row r="4" spans="2:14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122</v>
      </c>
    </row>
    <row r="5" spans="2:14" x14ac:dyDescent="0.3">
      <c r="B5" s="4">
        <v>45655.384548611109</v>
      </c>
      <c r="C5" s="44">
        <v>6765</v>
      </c>
      <c r="D5" s="44">
        <v>36.9</v>
      </c>
      <c r="E5" s="44">
        <f>IF(F5&lt;&gt;"ACCUMULATION",D5/C5,0)</f>
        <v>5.4545454545454541E-3</v>
      </c>
      <c r="F5" s="44" t="s">
        <v>8</v>
      </c>
      <c r="G5" s="44" t="s">
        <v>123</v>
      </c>
      <c r="H5" s="44" t="s">
        <v>124</v>
      </c>
      <c r="I5">
        <f>IF($F5="BUY",C5,-C5)</f>
        <v>6765</v>
      </c>
      <c r="J5">
        <f>IF($F5="BUY",-D5,D5)</f>
        <v>-36.9</v>
      </c>
    </row>
    <row r="6" spans="2:14" x14ac:dyDescent="0.3">
      <c r="B6" s="4">
        <v>45362.98609953704</v>
      </c>
      <c r="C6" s="44">
        <v>13900.11</v>
      </c>
      <c r="D6" s="44">
        <v>100</v>
      </c>
      <c r="E6" s="44">
        <f>IF(F6&lt;&gt;"ACCUMULATION",D6/C6,0)</f>
        <v>7.1941876718961215E-3</v>
      </c>
      <c r="F6" s="44" t="s">
        <v>8</v>
      </c>
      <c r="G6" s="44" t="s">
        <v>125</v>
      </c>
      <c r="H6" s="44" t="s">
        <v>126</v>
      </c>
      <c r="I6">
        <f>IF($F6="BUY",C6,-C6)</f>
        <v>13900.11</v>
      </c>
      <c r="J6">
        <f>IF($F6="BUY",-D6,D6)</f>
        <v>-100</v>
      </c>
    </row>
    <row r="7" spans="2:14" x14ac:dyDescent="0.3">
      <c r="B7" s="4"/>
      <c r="C7" s="44"/>
      <c r="D7" s="44"/>
      <c r="E7" s="44"/>
      <c r="F7" s="44"/>
      <c r="G7" s="44"/>
      <c r="H7" s="44"/>
    </row>
    <row r="8" spans="2:14" x14ac:dyDescent="0.3">
      <c r="B8" s="6"/>
      <c r="C8" s="43"/>
      <c r="D8" s="43"/>
      <c r="E8" s="43"/>
      <c r="F8" s="43"/>
    </row>
    <row r="9" spans="2:14" x14ac:dyDescent="0.3">
      <c r="B9" s="6"/>
      <c r="C9" s="43"/>
      <c r="D9" s="43"/>
      <c r="E9" s="43"/>
      <c r="F9" s="43"/>
    </row>
    <row r="10" spans="2:14" x14ac:dyDescent="0.3">
      <c r="B10" s="6"/>
      <c r="C10" s="43"/>
      <c r="D10" s="43"/>
      <c r="E10" s="43"/>
      <c r="F10" s="43"/>
    </row>
    <row r="11" spans="2:14" x14ac:dyDescent="0.3">
      <c r="B11" s="6"/>
      <c r="C11" s="43"/>
      <c r="D11" s="43"/>
      <c r="E11" s="43"/>
      <c r="F11" s="43"/>
    </row>
    <row r="12" spans="2:14" x14ac:dyDescent="0.3">
      <c r="B12" s="6"/>
      <c r="C12" s="43"/>
      <c r="D12" s="43"/>
      <c r="E12" s="43"/>
      <c r="F12" s="43"/>
    </row>
    <row r="13" spans="2:14" x14ac:dyDescent="0.3">
      <c r="B13" s="6"/>
      <c r="C13" s="43"/>
      <c r="D13" s="43"/>
      <c r="E13" s="43"/>
      <c r="F13" s="43"/>
    </row>
    <row r="14" spans="2:14" x14ac:dyDescent="0.3">
      <c r="B14" s="6"/>
      <c r="C14" s="43"/>
      <c r="D14" s="43"/>
      <c r="E14" s="43"/>
      <c r="F14" s="43"/>
    </row>
    <row r="15" spans="2:14" x14ac:dyDescent="0.3">
      <c r="B15" s="6"/>
      <c r="C15" s="43"/>
      <c r="D15" s="43"/>
      <c r="E15" s="43"/>
      <c r="F15" s="43"/>
      <c r="L15" t="s">
        <v>3</v>
      </c>
      <c r="M15" t="s">
        <v>11</v>
      </c>
      <c r="N15" t="s">
        <v>12</v>
      </c>
    </row>
    <row r="16" spans="2:14" x14ac:dyDescent="0.3">
      <c r="B16" s="6"/>
      <c r="C16" s="43"/>
      <c r="D16" s="43"/>
      <c r="E16" s="43"/>
      <c r="F16" s="43"/>
      <c r="L16">
        <f>SUM($I1:$I32)</f>
        <v>20665.11</v>
      </c>
      <c r="M16">
        <f>-SUM($J1:$J32)</f>
        <v>136.9</v>
      </c>
      <c r="N16">
        <f>M16/L16</f>
        <v>6.6246925373249889E-3</v>
      </c>
    </row>
  </sheetData>
  <mergeCells count="1">
    <mergeCell ref="B3:F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workbookViewId="0">
      <selection activeCell="C13" sqref="C13"/>
    </sheetView>
  </sheetViews>
  <sheetFormatPr defaultRowHeight="14.4" x14ac:dyDescent="0.3"/>
  <cols>
    <col min="2" max="2" width="15.109375" style="46" bestFit="1" customWidth="1"/>
    <col min="3" max="3" width="11.88671875" style="46" bestFit="1" customWidth="1"/>
    <col min="5" max="5" width="12.44140625" style="46" bestFit="1" customWidth="1"/>
    <col min="7" max="7" width="14.109375" style="46" bestFit="1" customWidth="1"/>
  </cols>
  <sheetData>
    <row r="3" spans="2:13" x14ac:dyDescent="0.3">
      <c r="B3" s="64" t="s">
        <v>127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53">
        <v>45364.869004629632</v>
      </c>
      <c r="C5" s="12">
        <v>1061683.8</v>
      </c>
      <c r="D5" s="12">
        <v>10</v>
      </c>
      <c r="E5" s="12">
        <f>IF(F5&lt;&gt;"ACCUMULATION",D5/C5,0)</f>
        <v>9.419000271078828E-6</v>
      </c>
      <c r="F5" s="12" t="s">
        <v>8</v>
      </c>
      <c r="G5" s="12" t="s">
        <v>128</v>
      </c>
      <c r="H5">
        <f t="shared" ref="H5:H11" si="0">IF($F5="BUY",C5,-C5)</f>
        <v>1061683.8</v>
      </c>
      <c r="I5">
        <f t="shared" ref="I5:I11" si="1">IF($F5="BUY",-D5,D5)</f>
        <v>-10</v>
      </c>
    </row>
    <row r="6" spans="2:13" x14ac:dyDescent="0.3">
      <c r="B6" s="53">
        <v>45364.875601851847</v>
      </c>
      <c r="C6" s="12">
        <v>1062080.8</v>
      </c>
      <c r="D6" s="12">
        <v>10.087999999999999</v>
      </c>
      <c r="E6" s="12">
        <f>IF(F6&lt;&gt;"ACCUMULATION",D6/C6,0)</f>
        <v>9.4983357198435362E-6</v>
      </c>
      <c r="F6" s="12" t="s">
        <v>8</v>
      </c>
      <c r="G6" s="12" t="s">
        <v>128</v>
      </c>
      <c r="H6">
        <f t="shared" si="0"/>
        <v>1062080.8</v>
      </c>
      <c r="I6">
        <f t="shared" si="1"/>
        <v>-10.087999999999999</v>
      </c>
    </row>
    <row r="7" spans="2:13" x14ac:dyDescent="0.3">
      <c r="B7" s="53">
        <v>45364.875694444447</v>
      </c>
      <c r="C7" s="12">
        <v>1826002.4</v>
      </c>
      <c r="D7" s="12">
        <v>17.341000000000001</v>
      </c>
      <c r="E7" s="12">
        <f>IF(F7&lt;&gt;"ACCUMULATION",D7/C7,0)</f>
        <v>9.4967016472705633E-6</v>
      </c>
      <c r="F7" s="12" t="s">
        <v>8</v>
      </c>
      <c r="G7" s="12" t="s">
        <v>128</v>
      </c>
      <c r="H7">
        <f t="shared" si="0"/>
        <v>1826002.4</v>
      </c>
      <c r="I7">
        <f t="shared" si="1"/>
        <v>-17.341000000000001</v>
      </c>
    </row>
    <row r="8" spans="2:13" x14ac:dyDescent="0.3">
      <c r="B8" s="53">
        <v>45364.875752314823</v>
      </c>
      <c r="C8" s="12">
        <v>2496252.7999999998</v>
      </c>
      <c r="D8" s="12">
        <v>23.706</v>
      </c>
      <c r="E8" s="12">
        <f>IF(F8&lt;&gt;"ACCUMULATION",D8/C8,0)</f>
        <v>9.4966343152424318E-6</v>
      </c>
      <c r="F8" s="12" t="s">
        <v>8</v>
      </c>
      <c r="G8" s="12" t="s">
        <v>128</v>
      </c>
      <c r="H8">
        <f t="shared" si="0"/>
        <v>2496252.7999999998</v>
      </c>
      <c r="I8">
        <f t="shared" si="1"/>
        <v>-23.706</v>
      </c>
    </row>
    <row r="9" spans="2:13" x14ac:dyDescent="0.3">
      <c r="B9" s="53">
        <v>45364.875787037039</v>
      </c>
      <c r="C9" s="54">
        <v>6418935.7000000002</v>
      </c>
      <c r="D9" s="12">
        <v>60.96</v>
      </c>
      <c r="E9" s="12">
        <f>IF(F9&lt;&gt;"ACCUMULATION",D9/C9,0)</f>
        <v>9.4969014878899628E-6</v>
      </c>
      <c r="F9" s="12" t="s">
        <v>8</v>
      </c>
      <c r="G9" s="12" t="s">
        <v>128</v>
      </c>
      <c r="H9">
        <f t="shared" si="0"/>
        <v>6418935.7000000002</v>
      </c>
      <c r="I9">
        <f t="shared" si="1"/>
        <v>-60.96</v>
      </c>
    </row>
    <row r="10" spans="2:13" x14ac:dyDescent="0.3">
      <c r="B10" s="53">
        <v>45396.065532407411</v>
      </c>
      <c r="C10" s="54">
        <v>1712484.2</v>
      </c>
      <c r="D10" s="12">
        <v>8.3157999999999994</v>
      </c>
      <c r="E10" s="12">
        <f>IF(F12&lt;&gt;"ACCUMULATION",D10/C10,0)</f>
        <v>4.855986408516937E-6</v>
      </c>
      <c r="F10" s="12" t="s">
        <v>8</v>
      </c>
      <c r="G10" s="12" t="s">
        <v>128</v>
      </c>
      <c r="H10">
        <f t="shared" si="0"/>
        <v>1712484.2</v>
      </c>
      <c r="I10">
        <f t="shared" si="1"/>
        <v>-8.3157999999999994</v>
      </c>
    </row>
    <row r="11" spans="2:13" x14ac:dyDescent="0.3">
      <c r="B11" s="53">
        <v>45396.065995370373</v>
      </c>
      <c r="C11" s="12">
        <v>8325667.5999999996</v>
      </c>
      <c r="D11" s="12">
        <v>41.203000000000003</v>
      </c>
      <c r="E11" s="12">
        <f>IF(F11&lt;&gt;"ACCUMULATION",D11/C11,0)</f>
        <v>4.9489124451713644E-6</v>
      </c>
      <c r="F11" s="12" t="s">
        <v>8</v>
      </c>
      <c r="G11" s="12" t="s">
        <v>128</v>
      </c>
      <c r="H11">
        <f t="shared" si="0"/>
        <v>8325667.5999999996</v>
      </c>
      <c r="I11">
        <f t="shared" si="1"/>
        <v>-41.203000000000003</v>
      </c>
    </row>
    <row r="12" spans="2:13" x14ac:dyDescent="0.3">
      <c r="B12" s="6"/>
      <c r="F12" s="43"/>
    </row>
    <row r="13" spans="2:13" x14ac:dyDescent="0.3">
      <c r="B13" s="6"/>
      <c r="C13" s="55"/>
      <c r="D13" s="43"/>
      <c r="E13" s="43"/>
      <c r="F13" s="43"/>
    </row>
    <row r="14" spans="2:13" x14ac:dyDescent="0.3">
      <c r="B14" s="6"/>
      <c r="C14" s="43"/>
      <c r="D14" s="43"/>
      <c r="E14" s="43"/>
      <c r="F14" s="43"/>
    </row>
    <row r="15" spans="2:13" x14ac:dyDescent="0.3">
      <c r="B15" s="6"/>
      <c r="C15" s="43"/>
      <c r="D15" s="43"/>
      <c r="E15" s="43"/>
      <c r="F15" s="43"/>
    </row>
    <row r="16" spans="2:13" x14ac:dyDescent="0.3">
      <c r="B16" s="6"/>
      <c r="C16" s="43"/>
      <c r="D16" s="43"/>
      <c r="E16" s="43"/>
      <c r="F16" s="43"/>
      <c r="K16" t="s">
        <v>3</v>
      </c>
      <c r="L16" t="s">
        <v>11</v>
      </c>
      <c r="M16" t="s">
        <v>12</v>
      </c>
    </row>
    <row r="17" spans="2:13" x14ac:dyDescent="0.3">
      <c r="B17" s="6"/>
      <c r="C17" s="43"/>
      <c r="D17" s="43"/>
      <c r="E17" s="43"/>
      <c r="F17" s="43"/>
      <c r="K17">
        <f>SUM($H1:$H33)</f>
        <v>22903107.299999997</v>
      </c>
      <c r="L17">
        <f>-SUM($I1:$I33)</f>
        <v>171.6138</v>
      </c>
      <c r="M17">
        <f>L17/K17</f>
        <v>7.49303567206359E-6</v>
      </c>
    </row>
    <row r="21" spans="2:13" x14ac:dyDescent="0.3">
      <c r="D21" s="43"/>
    </row>
  </sheetData>
  <mergeCells count="1">
    <mergeCell ref="B3:F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C15" sqref="C15"/>
    </sheetView>
  </sheetViews>
  <sheetFormatPr defaultRowHeight="14.4" x14ac:dyDescent="0.3"/>
  <cols>
    <col min="1" max="1" width="13.6640625" style="46" bestFit="1" customWidth="1"/>
  </cols>
  <sheetData>
    <row r="2" spans="1:8" x14ac:dyDescent="0.3">
      <c r="A2" s="64" t="s">
        <v>129</v>
      </c>
      <c r="B2" s="65"/>
      <c r="C2" s="65"/>
      <c r="D2" s="65"/>
      <c r="E2" s="65"/>
    </row>
    <row r="3" spans="1:8" x14ac:dyDescent="0.3">
      <c r="A3" s="48" t="s">
        <v>16</v>
      </c>
      <c r="B3" s="48" t="s">
        <v>3</v>
      </c>
      <c r="C3" s="48" t="s">
        <v>4</v>
      </c>
      <c r="D3" s="48" t="s">
        <v>5</v>
      </c>
      <c r="E3" s="48" t="s">
        <v>6</v>
      </c>
      <c r="F3" s="48" t="s">
        <v>7</v>
      </c>
    </row>
    <row r="4" spans="1:8" x14ac:dyDescent="0.3">
      <c r="A4" s="56">
        <v>45374.031655092593</v>
      </c>
      <c r="B4" s="12">
        <v>93.3</v>
      </c>
      <c r="C4" s="12">
        <v>14.715275999999999</v>
      </c>
      <c r="D4" s="12">
        <f>IF(E4&lt;&gt;"ACCUMULATION",C4/B4,0)</f>
        <v>0.15772</v>
      </c>
      <c r="E4" s="12" t="s">
        <v>8</v>
      </c>
      <c r="F4" s="12" t="s">
        <v>110</v>
      </c>
      <c r="G4" s="3">
        <f t="shared" ref="G4:G13" si="0">IF($F4="BUY",B4,-B4)</f>
        <v>-93.3</v>
      </c>
      <c r="H4" s="3">
        <f t="shared" ref="H4:H13" si="1">IF($F4="BUY",-C4,C4)</f>
        <v>14.715275999999999</v>
      </c>
    </row>
    <row r="5" spans="1:8" x14ac:dyDescent="0.3">
      <c r="A5" s="56">
        <v>45374.031655092593</v>
      </c>
      <c r="B5" s="12">
        <v>614.69000000000005</v>
      </c>
      <c r="C5" s="12">
        <v>96.856703300000007</v>
      </c>
      <c r="D5" s="12">
        <f>IF(E5&lt;&gt;"ACCUMULATION",C5/B5,0)</f>
        <v>0.15756999999999999</v>
      </c>
      <c r="E5" s="12" t="s">
        <v>8</v>
      </c>
      <c r="F5" s="12" t="s">
        <v>110</v>
      </c>
      <c r="G5" s="3">
        <f t="shared" si="0"/>
        <v>-614.69000000000005</v>
      </c>
      <c r="H5" s="3">
        <f t="shared" si="1"/>
        <v>96.856703300000007</v>
      </c>
    </row>
    <row r="6" spans="1:8" x14ac:dyDescent="0.3">
      <c r="A6" s="56">
        <v>45374.031655092593</v>
      </c>
      <c r="B6" s="12">
        <v>561.19000000000005</v>
      </c>
      <c r="C6" s="12">
        <v>88.426708300000001</v>
      </c>
      <c r="D6" s="12">
        <f>IF(E6&lt;&gt;"ACCUMULATION",C6/B6,0)</f>
        <v>0.15756999999999999</v>
      </c>
      <c r="E6" s="12" t="s">
        <v>8</v>
      </c>
      <c r="F6" s="12" t="s">
        <v>110</v>
      </c>
      <c r="G6" s="3">
        <f t="shared" si="0"/>
        <v>-561.19000000000005</v>
      </c>
      <c r="H6" s="3">
        <f t="shared" si="1"/>
        <v>88.426708300000001</v>
      </c>
    </row>
    <row r="7" spans="1:8" x14ac:dyDescent="0.3">
      <c r="A7" s="56">
        <v>45396.033784722233</v>
      </c>
      <c r="B7" s="12">
        <v>188.28</v>
      </c>
      <c r="C7" s="12">
        <v>14.7592692</v>
      </c>
      <c r="D7" s="12">
        <f>IF(E7&lt;&gt;"ACCUMULATION",C7/B7,0)</f>
        <v>7.8390000000000001E-2</v>
      </c>
      <c r="E7" s="12" t="s">
        <v>8</v>
      </c>
      <c r="F7" s="12" t="s">
        <v>110</v>
      </c>
      <c r="G7" s="3">
        <f t="shared" si="0"/>
        <v>-188.28</v>
      </c>
      <c r="H7" s="3">
        <f t="shared" si="1"/>
        <v>14.7592692</v>
      </c>
    </row>
    <row r="8" spans="1:8" x14ac:dyDescent="0.3">
      <c r="A8" s="56">
        <v>45396.033784722233</v>
      </c>
      <c r="B8" s="12">
        <v>293.60000000000002</v>
      </c>
      <c r="C8" s="12">
        <v>23.047599999999999</v>
      </c>
      <c r="D8" s="12">
        <f>IF(E8&lt;&gt;"ACCUMULATION",C8/B8,0)</f>
        <v>7.8499999999999986E-2</v>
      </c>
      <c r="E8" s="12" t="s">
        <v>8</v>
      </c>
      <c r="F8" s="12" t="s">
        <v>110</v>
      </c>
      <c r="G8" s="3">
        <f t="shared" si="0"/>
        <v>-293.60000000000002</v>
      </c>
      <c r="H8" s="3">
        <f t="shared" si="1"/>
        <v>23.047599999999999</v>
      </c>
    </row>
    <row r="9" spans="1:8" x14ac:dyDescent="0.3">
      <c r="A9" s="56">
        <v>45396.033784722233</v>
      </c>
      <c r="B9" s="12">
        <v>591.48</v>
      </c>
      <c r="C9" s="12">
        <v>46.377946799999997</v>
      </c>
      <c r="D9" s="12">
        <f>IF(E12&lt;&gt;"ACCUMULATION",C9/B9,0)</f>
        <v>7.8409999999999994E-2</v>
      </c>
      <c r="E9" s="12" t="s">
        <v>8</v>
      </c>
      <c r="F9" s="12" t="s">
        <v>110</v>
      </c>
      <c r="G9" s="3">
        <f t="shared" si="0"/>
        <v>-591.48</v>
      </c>
      <c r="H9" s="3">
        <f t="shared" si="1"/>
        <v>46.377946799999997</v>
      </c>
    </row>
    <row r="10" spans="1:8" x14ac:dyDescent="0.3">
      <c r="A10" s="56">
        <v>45396.033784722233</v>
      </c>
      <c r="B10" s="12">
        <v>180.07</v>
      </c>
      <c r="C10" s="12">
        <v>14.117488</v>
      </c>
      <c r="D10" s="12">
        <f>IF(E10&lt;&gt;"ACCUMULATION",C10/B10,0)</f>
        <v>7.8399999999999997E-2</v>
      </c>
      <c r="E10" s="12" t="s">
        <v>8</v>
      </c>
      <c r="F10" s="12" t="s">
        <v>110</v>
      </c>
      <c r="G10" s="3">
        <f t="shared" si="0"/>
        <v>-180.07</v>
      </c>
      <c r="H10" s="3">
        <f t="shared" si="1"/>
        <v>14.117488</v>
      </c>
    </row>
    <row r="11" spans="1:8" x14ac:dyDescent="0.3">
      <c r="A11" s="56">
        <v>45413.061006944437</v>
      </c>
      <c r="B11" s="12">
        <v>2236.6571073</v>
      </c>
      <c r="C11" s="12">
        <v>100.5</v>
      </c>
      <c r="D11" s="12">
        <f>IF(E11&lt;&gt;"ACCUMULATION",C11/B11,0)</f>
        <v>4.4933127957784931E-2</v>
      </c>
      <c r="E11" s="12" t="s">
        <v>8</v>
      </c>
      <c r="F11" s="12" t="s">
        <v>130</v>
      </c>
      <c r="G11" s="3">
        <f t="shared" si="0"/>
        <v>-2236.6571073</v>
      </c>
      <c r="H11" s="3">
        <f t="shared" si="1"/>
        <v>100.5</v>
      </c>
    </row>
    <row r="12" spans="1:8" x14ac:dyDescent="0.3">
      <c r="A12" s="56">
        <v>45414.447638888887</v>
      </c>
      <c r="B12" s="12">
        <v>2522.61</v>
      </c>
      <c r="C12" s="12">
        <v>130.898</v>
      </c>
      <c r="D12" s="12">
        <f>IF(E12&lt;&gt;"ACCUMULATION",C12/B12,0)</f>
        <v>5.1889907674987412E-2</v>
      </c>
      <c r="E12" s="12" t="s">
        <v>10</v>
      </c>
      <c r="F12" s="12" t="s">
        <v>110</v>
      </c>
      <c r="G12" s="3">
        <f t="shared" si="0"/>
        <v>-2522.61</v>
      </c>
      <c r="H12" s="3">
        <f t="shared" si="1"/>
        <v>130.898</v>
      </c>
    </row>
    <row r="13" spans="1:8" x14ac:dyDescent="0.3">
      <c r="A13" s="56">
        <v>45414.45108796296</v>
      </c>
      <c r="B13" s="12">
        <v>2691.07091085</v>
      </c>
      <c r="C13" s="12">
        <v>130.29026999999999</v>
      </c>
      <c r="D13" s="12">
        <f>IF(E13&lt;&gt;"ACCUMULATION",C13/B13,0)</f>
        <v>4.8415769898403231E-2</v>
      </c>
      <c r="E13" s="12" t="s">
        <v>8</v>
      </c>
      <c r="F13" s="12" t="s">
        <v>130</v>
      </c>
      <c r="G13" s="3">
        <f t="shared" si="0"/>
        <v>-2691.07091085</v>
      </c>
      <c r="H13" s="3">
        <f t="shared" si="1"/>
        <v>130.29026999999999</v>
      </c>
    </row>
  </sheetData>
  <mergeCells count="1">
    <mergeCell ref="A2:E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D12" sqref="D12"/>
    </sheetView>
  </sheetViews>
  <sheetFormatPr defaultRowHeight="14.4" x14ac:dyDescent="0.3"/>
  <cols>
    <col min="2" max="2" width="18.5546875" style="46" bestFit="1" customWidth="1"/>
    <col min="7" max="7" width="12.77734375" style="46" bestFit="1" customWidth="1"/>
  </cols>
  <sheetData>
    <row r="3" spans="2:13" x14ac:dyDescent="0.3">
      <c r="B3" s="64" t="s">
        <v>131</v>
      </c>
      <c r="C3" s="65"/>
      <c r="D3" s="65"/>
      <c r="E3" s="65"/>
      <c r="F3" s="65"/>
    </row>
    <row r="4" spans="2:13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13" x14ac:dyDescent="0.3">
      <c r="B5" s="56">
        <v>45424.037499999999</v>
      </c>
      <c r="C5" s="44">
        <v>4.0999999999999996</v>
      </c>
      <c r="D5" s="44">
        <v>17.4373</v>
      </c>
      <c r="E5" s="44">
        <f>IF(F5&lt;&gt;"ACCUMULATION",D5/C5,0)</f>
        <v>4.2530000000000001</v>
      </c>
      <c r="F5" s="44" t="s">
        <v>8</v>
      </c>
      <c r="G5" s="44" t="s">
        <v>132</v>
      </c>
      <c r="H5">
        <f>IF($F5="BUY",C5,-C5)</f>
        <v>4.0999999999999996</v>
      </c>
      <c r="I5">
        <f>IF($F5="BUY",-D5,D5)</f>
        <v>-17.4373</v>
      </c>
    </row>
    <row r="6" spans="2:13" x14ac:dyDescent="0.3">
      <c r="B6" s="56">
        <v>45424.037499999999</v>
      </c>
      <c r="C6" s="44">
        <v>42.914999999999999</v>
      </c>
      <c r="D6" s="44">
        <v>182.56040999999999</v>
      </c>
      <c r="E6" s="44">
        <f>IF(F6&lt;&gt;"ACCUMULATION",D6/C6,0)</f>
        <v>4.2539999999999996</v>
      </c>
      <c r="F6" s="44" t="s">
        <v>8</v>
      </c>
      <c r="G6" s="44" t="s">
        <v>132</v>
      </c>
      <c r="H6">
        <f>IF($F6="BUY",C6,-C6)</f>
        <v>42.914999999999999</v>
      </c>
      <c r="I6">
        <f>IF($F6="BUY",-D6,D6)</f>
        <v>-182.56040999999999</v>
      </c>
    </row>
    <row r="7" spans="2:13" x14ac:dyDescent="0.3">
      <c r="B7" s="4"/>
      <c r="C7" s="44"/>
      <c r="D7" s="44"/>
      <c r="E7" s="44"/>
      <c r="F7" s="44"/>
      <c r="G7" s="44"/>
    </row>
    <row r="8" spans="2:13" x14ac:dyDescent="0.3">
      <c r="B8" s="6"/>
      <c r="C8" s="43"/>
      <c r="D8" s="43"/>
      <c r="E8" s="43"/>
      <c r="F8" s="43"/>
    </row>
    <row r="9" spans="2:13" x14ac:dyDescent="0.3">
      <c r="B9" s="6"/>
      <c r="C9" s="43"/>
      <c r="D9" s="43"/>
      <c r="E9" s="43"/>
      <c r="F9" s="43"/>
    </row>
    <row r="10" spans="2:13" x14ac:dyDescent="0.3">
      <c r="B10" s="6"/>
      <c r="C10" s="43"/>
      <c r="D10" s="43"/>
      <c r="E10" s="43"/>
      <c r="F10" s="43"/>
    </row>
    <row r="11" spans="2:13" x14ac:dyDescent="0.3">
      <c r="B11" s="6"/>
      <c r="C11" s="43"/>
      <c r="D11" s="43"/>
      <c r="E11" s="43"/>
      <c r="F11" s="43"/>
    </row>
    <row r="12" spans="2:13" x14ac:dyDescent="0.3">
      <c r="B12" s="6"/>
      <c r="C12" s="43"/>
      <c r="D12" s="43"/>
      <c r="E12" s="43"/>
      <c r="F12" s="43"/>
    </row>
    <row r="13" spans="2:13" x14ac:dyDescent="0.3">
      <c r="B13" s="6"/>
      <c r="C13" s="43"/>
      <c r="D13" s="43"/>
      <c r="E13" s="43"/>
      <c r="F13" s="43"/>
    </row>
    <row r="14" spans="2:13" x14ac:dyDescent="0.3">
      <c r="B14" s="6"/>
      <c r="C14" s="43"/>
      <c r="D14" s="43"/>
      <c r="E14" s="43"/>
      <c r="F14" s="43"/>
    </row>
    <row r="15" spans="2:13" x14ac:dyDescent="0.3">
      <c r="B15" s="6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6"/>
      <c r="C16" s="43"/>
      <c r="D16" s="43"/>
      <c r="E16" s="43"/>
      <c r="F16" s="43"/>
      <c r="K16">
        <f>SUM($H1:$H32)</f>
        <v>47.015000000000001</v>
      </c>
      <c r="L16">
        <f>-SUM($I1:$I32)</f>
        <v>199.99770999999998</v>
      </c>
      <c r="M16">
        <f>L16/K16</f>
        <v>4.2539127937892154</v>
      </c>
    </row>
  </sheetData>
  <mergeCells count="1">
    <mergeCell ref="B3:F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E14" sqref="E14"/>
    </sheetView>
  </sheetViews>
  <sheetFormatPr defaultRowHeight="14.4" x14ac:dyDescent="0.3"/>
  <cols>
    <col min="2" max="2" width="18.5546875" style="46" bestFit="1" customWidth="1"/>
    <col min="7" max="7" width="12.77734375" style="46" bestFit="1" customWidth="1"/>
    <col min="8" max="8" width="47.77734375" style="46" bestFit="1" customWidth="1"/>
    <col min="11" max="11" width="17.5546875" style="46" bestFit="1" customWidth="1"/>
  </cols>
  <sheetData>
    <row r="3" spans="2:14" x14ac:dyDescent="0.3">
      <c r="B3" s="64" t="s">
        <v>133</v>
      </c>
      <c r="C3" s="65"/>
      <c r="D3" s="65"/>
      <c r="E3" s="65"/>
      <c r="F3" s="65"/>
    </row>
    <row r="4" spans="2:14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122</v>
      </c>
      <c r="I4" s="43"/>
    </row>
    <row r="5" spans="2:14" x14ac:dyDescent="0.3">
      <c r="B5" s="56">
        <v>45423.490624999999</v>
      </c>
      <c r="C5" s="44">
        <v>244.68</v>
      </c>
      <c r="D5" s="44">
        <v>167.29</v>
      </c>
      <c r="E5" s="44">
        <f>IF(F5&lt;&gt;"ACCUMULATION",D5/C5,0)</f>
        <v>0.6837093346411639</v>
      </c>
      <c r="F5" s="44" t="s">
        <v>8</v>
      </c>
      <c r="G5" s="44" t="s">
        <v>134</v>
      </c>
      <c r="H5" s="44" t="s">
        <v>135</v>
      </c>
      <c r="I5">
        <f>IF($F5="BUY",C5,-C5)</f>
        <v>244.68</v>
      </c>
      <c r="J5">
        <f>IF($F5="BUY",-D5,D5)</f>
        <v>-167.29</v>
      </c>
    </row>
    <row r="6" spans="2:14" x14ac:dyDescent="0.3">
      <c r="B6" s="56">
        <v>45423.522673611107</v>
      </c>
      <c r="C6" s="44">
        <v>284.14999999999998</v>
      </c>
      <c r="D6" s="44">
        <v>200</v>
      </c>
      <c r="E6" s="44">
        <f>IF(F6&lt;&gt;"ACCUMULATION",D6/C6,0)</f>
        <v>0.70385359845152218</v>
      </c>
      <c r="F6" s="44" t="s">
        <v>8</v>
      </c>
      <c r="G6" s="44" t="s">
        <v>134</v>
      </c>
      <c r="H6" s="44" t="s">
        <v>135</v>
      </c>
      <c r="I6">
        <f>IF($F6="BUY",C6,-C6)</f>
        <v>284.14999999999998</v>
      </c>
      <c r="J6">
        <f>IF($F6="BUY",-D6,D6)</f>
        <v>-200</v>
      </c>
    </row>
    <row r="7" spans="2:14" x14ac:dyDescent="0.3">
      <c r="B7" s="56">
        <v>45444.826377314806</v>
      </c>
      <c r="C7" s="44">
        <v>106.05978134</v>
      </c>
      <c r="D7" s="44">
        <v>50</v>
      </c>
      <c r="E7" s="44">
        <f>IF(F7&lt;&gt;"ACCUMULATION",D7/C7,0)</f>
        <v>0.47143223725601546</v>
      </c>
      <c r="F7" s="44" t="s">
        <v>8</v>
      </c>
      <c r="G7" s="44" t="s">
        <v>134</v>
      </c>
      <c r="H7" s="44" t="s">
        <v>135</v>
      </c>
      <c r="I7">
        <f>IF($F7="BUY",C7,-C7)</f>
        <v>106.05978134</v>
      </c>
      <c r="J7">
        <f>IF($F7="BUY",-D7,D7)</f>
        <v>-50</v>
      </c>
    </row>
    <row r="8" spans="2:14" x14ac:dyDescent="0.3">
      <c r="B8" s="56">
        <v>45444.852500000001</v>
      </c>
      <c r="C8" s="44">
        <v>115.857633286</v>
      </c>
      <c r="D8" s="43">
        <v>55</v>
      </c>
      <c r="E8" s="44">
        <f>IF(F8&lt;&gt;"ACCUMULATION",D8/C8,0)</f>
        <v>0.47472055521995621</v>
      </c>
      <c r="F8" s="44" t="s">
        <v>8</v>
      </c>
      <c r="G8" s="44" t="s">
        <v>134</v>
      </c>
      <c r="H8" s="44" t="s">
        <v>135</v>
      </c>
      <c r="I8">
        <f>IF($F8="BUY",C8,-C8)</f>
        <v>115.857633286</v>
      </c>
      <c r="J8">
        <f>IF($F8="BUY",-D8,D8)</f>
        <v>-55</v>
      </c>
      <c r="K8" s="43" t="s">
        <v>136</v>
      </c>
    </row>
    <row r="9" spans="2:14" x14ac:dyDescent="0.3">
      <c r="B9" s="6"/>
      <c r="C9" s="43"/>
      <c r="D9" s="43"/>
      <c r="E9" s="43"/>
      <c r="F9" s="43"/>
    </row>
    <row r="10" spans="2:14" x14ac:dyDescent="0.3">
      <c r="B10" s="6"/>
      <c r="C10" s="43"/>
      <c r="D10" s="43"/>
      <c r="E10" s="43"/>
      <c r="F10" s="43"/>
    </row>
    <row r="11" spans="2:14" x14ac:dyDescent="0.3">
      <c r="B11" s="6"/>
      <c r="C11" s="43"/>
      <c r="D11" s="43"/>
      <c r="E11" s="43"/>
      <c r="F11" s="43"/>
    </row>
    <row r="12" spans="2:14" x14ac:dyDescent="0.3">
      <c r="B12" s="6"/>
      <c r="C12" s="43"/>
      <c r="D12" s="43"/>
      <c r="E12" s="43"/>
      <c r="F12" s="43"/>
    </row>
    <row r="13" spans="2:14" x14ac:dyDescent="0.3">
      <c r="B13" s="6"/>
      <c r="C13" s="43"/>
      <c r="D13" s="43"/>
      <c r="E13" s="43"/>
      <c r="F13" s="43"/>
    </row>
    <row r="14" spans="2:14" x14ac:dyDescent="0.3">
      <c r="B14" s="6"/>
      <c r="C14" s="43"/>
      <c r="D14" s="43"/>
      <c r="E14" s="43"/>
      <c r="F14" s="43"/>
    </row>
    <row r="15" spans="2:14" x14ac:dyDescent="0.3">
      <c r="B15" s="6"/>
      <c r="C15" s="43"/>
      <c r="D15" s="43"/>
      <c r="E15" s="43"/>
      <c r="F15" s="43"/>
      <c r="L15" t="s">
        <v>3</v>
      </c>
      <c r="M15" t="s">
        <v>11</v>
      </c>
      <c r="N15" t="s">
        <v>12</v>
      </c>
    </row>
    <row r="16" spans="2:14" x14ac:dyDescent="0.3">
      <c r="B16" s="6"/>
      <c r="C16" s="43"/>
      <c r="D16" s="43"/>
      <c r="E16" s="43"/>
      <c r="F16" s="43"/>
      <c r="L16">
        <f>SUM($I1:$I32)</f>
        <v>750.74741462599991</v>
      </c>
      <c r="M16">
        <f>-SUM($J1:$J32)</f>
        <v>472.28999999999996</v>
      </c>
      <c r="N16">
        <f>M16/L16</f>
        <v>0.62909307551232907</v>
      </c>
    </row>
  </sheetData>
  <mergeCells count="1">
    <mergeCell ref="B3:F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D12" sqref="D12"/>
    </sheetView>
  </sheetViews>
  <sheetFormatPr defaultRowHeight="14.4" x14ac:dyDescent="0.3"/>
  <cols>
    <col min="2" max="2" width="18.5546875" style="46" bestFit="1" customWidth="1"/>
    <col min="7" max="7" width="12.77734375" style="46" bestFit="1" customWidth="1"/>
    <col min="8" max="8" width="44.21875" style="46" bestFit="1" customWidth="1"/>
  </cols>
  <sheetData>
    <row r="3" spans="2:14" x14ac:dyDescent="0.3">
      <c r="B3" s="64" t="s">
        <v>137</v>
      </c>
      <c r="C3" s="65"/>
      <c r="D3" s="65"/>
      <c r="E3" s="65"/>
      <c r="F3" s="65"/>
    </row>
    <row r="4" spans="2:14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122</v>
      </c>
    </row>
    <row r="5" spans="2:14" x14ac:dyDescent="0.3">
      <c r="B5" s="56">
        <v>45436.522673611107</v>
      </c>
      <c r="C5" s="50">
        <v>8148.3982519499996</v>
      </c>
      <c r="D5" s="51">
        <v>222.48</v>
      </c>
      <c r="E5" s="44">
        <f>IF(F5&lt;&gt;"ACCUMULATION",D5/C5,0)</f>
        <v>2.7303525566728177E-2</v>
      </c>
      <c r="F5" s="44" t="s">
        <v>8</v>
      </c>
      <c r="G5" s="44" t="s">
        <v>138</v>
      </c>
      <c r="H5" s="44" t="s">
        <v>139</v>
      </c>
      <c r="I5">
        <f>IF($F5="BUY",C5,-C5)</f>
        <v>8148.3982519499996</v>
      </c>
      <c r="J5">
        <f>IF($F5="BUY",-D5,D5)</f>
        <v>-222.48</v>
      </c>
    </row>
    <row r="6" spans="2:14" x14ac:dyDescent="0.3">
      <c r="B6" s="56">
        <v>45450.914675925917</v>
      </c>
      <c r="C6" s="44">
        <v>21195</v>
      </c>
      <c r="D6" s="44">
        <v>500</v>
      </c>
      <c r="E6" s="44">
        <f>IF(F6&lt;&gt;"ACCUMULATION",D6/C6,0)</f>
        <v>2.3590469450342062E-2</v>
      </c>
      <c r="F6" s="44" t="s">
        <v>8</v>
      </c>
      <c r="G6" s="44" t="s">
        <v>138</v>
      </c>
      <c r="H6" s="44" t="s">
        <v>132</v>
      </c>
      <c r="I6">
        <f>IF($F6="BUY",C6,-C6)</f>
        <v>21195</v>
      </c>
      <c r="J6">
        <f>IF($F6="BUY",-D6,D6)</f>
        <v>-500</v>
      </c>
    </row>
    <row r="7" spans="2:14" x14ac:dyDescent="0.3">
      <c r="B7" s="56"/>
      <c r="C7" s="44"/>
      <c r="D7" s="44"/>
      <c r="E7" s="44"/>
      <c r="F7" s="44"/>
      <c r="G7" s="44"/>
      <c r="H7" s="44"/>
    </row>
    <row r="8" spans="2:14" x14ac:dyDescent="0.3">
      <c r="B8" s="6"/>
      <c r="C8" s="43"/>
      <c r="D8" s="43"/>
      <c r="E8" s="43"/>
      <c r="F8" s="43"/>
    </row>
    <row r="9" spans="2:14" x14ac:dyDescent="0.3">
      <c r="B9" s="6"/>
      <c r="C9" s="43"/>
      <c r="D9" s="43"/>
      <c r="E9" s="43"/>
      <c r="F9" s="43"/>
    </row>
    <row r="10" spans="2:14" x14ac:dyDescent="0.3">
      <c r="B10" s="6"/>
      <c r="C10" s="43"/>
      <c r="D10" s="43"/>
      <c r="E10" s="43"/>
      <c r="F10" s="43"/>
    </row>
    <row r="11" spans="2:14" x14ac:dyDescent="0.3">
      <c r="B11" s="6"/>
      <c r="C11" s="43"/>
      <c r="D11" s="43"/>
      <c r="E11" s="43"/>
      <c r="F11" s="43"/>
    </row>
    <row r="12" spans="2:14" x14ac:dyDescent="0.3">
      <c r="B12" s="6"/>
      <c r="C12" s="43"/>
      <c r="D12" s="43"/>
      <c r="E12" s="43"/>
      <c r="F12" s="43"/>
    </row>
    <row r="13" spans="2:14" x14ac:dyDescent="0.3">
      <c r="B13" s="6"/>
      <c r="C13" s="43"/>
      <c r="D13" s="43"/>
      <c r="E13" s="43"/>
      <c r="F13" s="43"/>
    </row>
    <row r="14" spans="2:14" x14ac:dyDescent="0.3">
      <c r="B14" s="6"/>
      <c r="C14" s="43"/>
      <c r="D14" s="43"/>
      <c r="E14" s="43"/>
      <c r="F14" s="43"/>
    </row>
    <row r="15" spans="2:14" x14ac:dyDescent="0.3">
      <c r="B15" s="6"/>
      <c r="C15" s="43"/>
      <c r="D15" s="43"/>
      <c r="E15" s="43"/>
      <c r="F15" s="43"/>
      <c r="L15" t="s">
        <v>3</v>
      </c>
      <c r="M15" t="s">
        <v>11</v>
      </c>
      <c r="N15" t="s">
        <v>12</v>
      </c>
    </row>
    <row r="16" spans="2:14" x14ac:dyDescent="0.3">
      <c r="B16" s="6"/>
      <c r="C16" s="43"/>
      <c r="D16" s="43"/>
      <c r="E16" s="43"/>
      <c r="F16" s="43"/>
      <c r="L16">
        <f>SUM($I1:$I32)</f>
        <v>29343.398251949999</v>
      </c>
      <c r="M16">
        <f>-SUM($J1:$J32)</f>
        <v>722.48</v>
      </c>
      <c r="N16">
        <f>M16/L16</f>
        <v>2.462155179835001E-2</v>
      </c>
    </row>
  </sheetData>
  <mergeCells count="1">
    <mergeCell ref="B3:F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8"/>
  <sheetViews>
    <sheetView workbookViewId="0">
      <selection activeCell="A2" sqref="A2"/>
    </sheetView>
  </sheetViews>
  <sheetFormatPr defaultRowHeight="14.4" x14ac:dyDescent="0.3"/>
  <cols>
    <col min="2" max="2" width="17.77734375" style="46" bestFit="1" customWidth="1"/>
    <col min="3" max="3" width="10.77734375" style="46" bestFit="1" customWidth="1"/>
    <col min="7" max="7" width="12.77734375" style="46" bestFit="1" customWidth="1"/>
    <col min="8" max="8" width="44.21875" style="46" bestFit="1" customWidth="1"/>
  </cols>
  <sheetData>
    <row r="3" spans="2:10" x14ac:dyDescent="0.3">
      <c r="B3" s="64" t="s">
        <v>140</v>
      </c>
      <c r="C3" s="65"/>
      <c r="D3" s="65"/>
      <c r="E3" s="65"/>
      <c r="F3" s="65"/>
    </row>
    <row r="4" spans="2:10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122</v>
      </c>
    </row>
    <row r="5" spans="2:10" x14ac:dyDescent="0.3">
      <c r="B5" s="4">
        <v>45186.803090277783</v>
      </c>
      <c r="C5" s="58">
        <v>98.741892512000007</v>
      </c>
      <c r="D5" s="58">
        <v>0</v>
      </c>
      <c r="E5" s="44">
        <f t="shared" ref="E5:E13" si="0">IF(F5&lt;&gt;"ACCUMULATION",D5/C5,0)</f>
        <v>0</v>
      </c>
      <c r="F5" s="44" t="s">
        <v>141</v>
      </c>
      <c r="G5" s="44" t="s">
        <v>138</v>
      </c>
      <c r="H5" s="44" t="s">
        <v>139</v>
      </c>
      <c r="I5">
        <f t="shared" ref="I5:I16" si="1">IF(OR($F5="BUY",$F5="FARM"),C5,-C5)</f>
        <v>98.741892512000007</v>
      </c>
      <c r="J5">
        <f t="shared" ref="J5:J16" si="2">IF($F5="BUY",-D5,D5)</f>
        <v>0</v>
      </c>
    </row>
    <row r="6" spans="2:10" x14ac:dyDescent="0.3">
      <c r="B6" s="4">
        <v>45286.004583333342</v>
      </c>
      <c r="C6" s="58">
        <v>26.003679803000001</v>
      </c>
      <c r="D6" s="58">
        <v>0</v>
      </c>
      <c r="E6" s="44">
        <f t="shared" si="0"/>
        <v>0</v>
      </c>
      <c r="F6" s="44" t="s">
        <v>141</v>
      </c>
      <c r="G6" s="44" t="s">
        <v>138</v>
      </c>
      <c r="H6" s="44" t="s">
        <v>142</v>
      </c>
      <c r="I6">
        <f t="shared" si="1"/>
        <v>26.003679803000001</v>
      </c>
      <c r="J6">
        <f t="shared" si="2"/>
        <v>0</v>
      </c>
    </row>
    <row r="7" spans="2:10" x14ac:dyDescent="0.3">
      <c r="B7" s="4">
        <v>45286.010462962957</v>
      </c>
      <c r="C7" s="58">
        <v>60.655831863000003</v>
      </c>
      <c r="D7" s="58">
        <v>0</v>
      </c>
      <c r="E7" s="44">
        <f t="shared" si="0"/>
        <v>0</v>
      </c>
      <c r="F7" s="44" t="s">
        <v>141</v>
      </c>
      <c r="G7" s="44" t="s">
        <v>138</v>
      </c>
      <c r="H7" s="44" t="s">
        <v>143</v>
      </c>
      <c r="I7">
        <f t="shared" si="1"/>
        <v>60.655831863000003</v>
      </c>
      <c r="J7">
        <f t="shared" si="2"/>
        <v>0</v>
      </c>
    </row>
    <row r="8" spans="2:10" x14ac:dyDescent="0.3">
      <c r="B8" s="4">
        <v>45286.01122685185</v>
      </c>
      <c r="C8" s="58">
        <v>31.778654406000001</v>
      </c>
      <c r="D8" s="58">
        <v>0</v>
      </c>
      <c r="E8" s="44">
        <f t="shared" si="0"/>
        <v>0</v>
      </c>
      <c r="F8" s="44" t="s">
        <v>141</v>
      </c>
      <c r="G8" s="44" t="s">
        <v>138</v>
      </c>
      <c r="H8" s="44" t="s">
        <v>144</v>
      </c>
      <c r="I8">
        <f t="shared" si="1"/>
        <v>31.778654406000001</v>
      </c>
      <c r="J8">
        <f t="shared" si="2"/>
        <v>0</v>
      </c>
    </row>
    <row r="9" spans="2:10" x14ac:dyDescent="0.3">
      <c r="B9" s="4">
        <v>45286.012060185189</v>
      </c>
      <c r="C9" s="58">
        <v>24.198088442</v>
      </c>
      <c r="D9" s="58">
        <v>0</v>
      </c>
      <c r="E9" s="44">
        <f t="shared" si="0"/>
        <v>0</v>
      </c>
      <c r="F9" s="44" t="s">
        <v>141</v>
      </c>
      <c r="G9" s="44" t="s">
        <v>138</v>
      </c>
      <c r="H9" s="44" t="s">
        <v>145</v>
      </c>
      <c r="I9">
        <f t="shared" si="1"/>
        <v>24.198088442</v>
      </c>
      <c r="J9">
        <f t="shared" si="2"/>
        <v>0</v>
      </c>
    </row>
    <row r="10" spans="2:10" x14ac:dyDescent="0.3">
      <c r="B10" s="4">
        <v>45342.926759259259</v>
      </c>
      <c r="C10" s="58">
        <v>12.321634806</v>
      </c>
      <c r="D10" s="58">
        <v>0</v>
      </c>
      <c r="E10" s="44">
        <f t="shared" si="0"/>
        <v>0</v>
      </c>
      <c r="F10" s="44" t="s">
        <v>141</v>
      </c>
      <c r="G10" s="44" t="s">
        <v>138</v>
      </c>
      <c r="H10" s="44" t="s">
        <v>146</v>
      </c>
      <c r="I10">
        <f t="shared" si="1"/>
        <v>12.321634806</v>
      </c>
      <c r="J10">
        <f t="shared" si="2"/>
        <v>0</v>
      </c>
    </row>
    <row r="11" spans="2:10" x14ac:dyDescent="0.3">
      <c r="B11" s="4">
        <v>45394.803912037038</v>
      </c>
      <c r="C11" s="57">
        <v>2605.4691258600001</v>
      </c>
      <c r="D11" s="58">
        <v>162.93121038000001</v>
      </c>
      <c r="E11" s="43">
        <f t="shared" si="0"/>
        <v>6.2534308606025227E-2</v>
      </c>
      <c r="F11" s="43" t="s">
        <v>8</v>
      </c>
      <c r="G11" s="44" t="s">
        <v>138</v>
      </c>
      <c r="H11" s="43" t="s">
        <v>126</v>
      </c>
      <c r="I11">
        <f t="shared" si="1"/>
        <v>2605.4691258600001</v>
      </c>
      <c r="J11">
        <f t="shared" si="2"/>
        <v>-162.93121038000001</v>
      </c>
    </row>
    <row r="12" spans="2:10" x14ac:dyDescent="0.3">
      <c r="B12" s="4">
        <v>45395.957256944443</v>
      </c>
      <c r="C12" s="57">
        <v>1768.2925979300001</v>
      </c>
      <c r="D12" s="58">
        <v>100</v>
      </c>
      <c r="E12" s="43">
        <f t="shared" si="0"/>
        <v>5.6551726856212639E-2</v>
      </c>
      <c r="F12" s="43" t="s">
        <v>8</v>
      </c>
      <c r="G12" s="44" t="s">
        <v>138</v>
      </c>
      <c r="H12" s="43" t="s">
        <v>147</v>
      </c>
      <c r="I12">
        <f t="shared" si="1"/>
        <v>1768.2925979300001</v>
      </c>
      <c r="J12">
        <f t="shared" si="2"/>
        <v>-100</v>
      </c>
    </row>
    <row r="13" spans="2:10" x14ac:dyDescent="0.3">
      <c r="B13" s="4">
        <v>45401.957256944443</v>
      </c>
      <c r="C13" s="58">
        <v>1560</v>
      </c>
      <c r="D13" s="43">
        <v>100</v>
      </c>
      <c r="E13" s="43">
        <f t="shared" si="0"/>
        <v>6.4102564102564097E-2</v>
      </c>
      <c r="F13" s="43" t="s">
        <v>8</v>
      </c>
      <c r="G13" s="44" t="s">
        <v>138</v>
      </c>
      <c r="H13" s="44" t="s">
        <v>146</v>
      </c>
      <c r="I13">
        <f t="shared" si="1"/>
        <v>1560</v>
      </c>
      <c r="J13">
        <f t="shared" si="2"/>
        <v>-100</v>
      </c>
    </row>
    <row r="14" spans="2:10" x14ac:dyDescent="0.3">
      <c r="B14" s="4">
        <v>45424.838263888887</v>
      </c>
      <c r="C14" s="57">
        <v>2216.8008755330002</v>
      </c>
      <c r="D14" s="43">
        <v>100</v>
      </c>
      <c r="E14" s="43">
        <f>IF(F14&lt;&gt;"ACCUMULATION",D14/C13,0)</f>
        <v>6.4102564102564097E-2</v>
      </c>
      <c r="F14" s="43" t="s">
        <v>8</v>
      </c>
      <c r="G14" s="44" t="s">
        <v>138</v>
      </c>
      <c r="H14" s="44" t="s">
        <v>148</v>
      </c>
      <c r="I14">
        <f t="shared" si="1"/>
        <v>2216.8008755330002</v>
      </c>
      <c r="J14">
        <f t="shared" si="2"/>
        <v>-100</v>
      </c>
    </row>
    <row r="15" spans="2:10" x14ac:dyDescent="0.3">
      <c r="B15" s="4">
        <v>45450.945289351846</v>
      </c>
      <c r="C15" s="57">
        <v>2614.6799999999998</v>
      </c>
      <c r="D15" s="43">
        <v>100</v>
      </c>
      <c r="E15" s="43">
        <f>IF(F15&lt;&gt;"ACCUMULATION",D15/C15,0)</f>
        <v>3.8245597931678067E-2</v>
      </c>
      <c r="F15" s="43" t="s">
        <v>8</v>
      </c>
      <c r="G15" s="44" t="s">
        <v>138</v>
      </c>
      <c r="H15" s="44" t="s">
        <v>149</v>
      </c>
      <c r="I15">
        <f t="shared" si="1"/>
        <v>2614.6799999999998</v>
      </c>
      <c r="J15">
        <f t="shared" si="2"/>
        <v>-100</v>
      </c>
    </row>
    <row r="16" spans="2:10" x14ac:dyDescent="0.3">
      <c r="B16" s="4">
        <v>45478.219201388893</v>
      </c>
      <c r="C16" s="57">
        <v>2276.1280000000002</v>
      </c>
      <c r="D16" s="43">
        <v>50</v>
      </c>
      <c r="E16" s="43">
        <f>IF(F16&lt;&gt;"ACCUMULATION",D16/C16,0)</f>
        <v>2.1967130143823194E-2</v>
      </c>
      <c r="F16" s="43" t="s">
        <v>8</v>
      </c>
      <c r="G16" s="44" t="s">
        <v>138</v>
      </c>
      <c r="H16" s="44" t="s">
        <v>150</v>
      </c>
      <c r="I16">
        <f t="shared" si="1"/>
        <v>2276.1280000000002</v>
      </c>
      <c r="J16">
        <f t="shared" si="2"/>
        <v>-50</v>
      </c>
    </row>
    <row r="17" spans="2:14" x14ac:dyDescent="0.3">
      <c r="B17" s="6"/>
      <c r="C17" s="43"/>
      <c r="D17" s="43"/>
      <c r="E17" s="43"/>
      <c r="F17" s="43"/>
      <c r="L17" t="s">
        <v>3</v>
      </c>
      <c r="M17" t="s">
        <v>11</v>
      </c>
      <c r="N17" t="s">
        <v>12</v>
      </c>
    </row>
    <row r="18" spans="2:14" x14ac:dyDescent="0.3">
      <c r="B18" s="6"/>
      <c r="C18" s="43"/>
      <c r="D18" s="43"/>
      <c r="E18" s="43"/>
      <c r="F18" s="43"/>
      <c r="L18">
        <f>SUM($I1:$I34)</f>
        <v>13295.070381155001</v>
      </c>
      <c r="M18">
        <f>-SUM($J1:$J34)</f>
        <v>612.93121038000004</v>
      </c>
      <c r="N18">
        <f>M18/L18</f>
        <v>4.6102141079959594E-2</v>
      </c>
    </row>
  </sheetData>
  <mergeCells count="1">
    <mergeCell ref="B3:F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5"/>
  <sheetViews>
    <sheetView workbookViewId="0">
      <selection activeCell="F31" sqref="F31"/>
    </sheetView>
  </sheetViews>
  <sheetFormatPr defaultRowHeight="14.4" x14ac:dyDescent="0.3"/>
  <cols>
    <col min="2" max="2" width="14.6640625" style="46" bestFit="1" customWidth="1"/>
    <col min="7" max="7" width="10.44140625" style="46" bestFit="1" customWidth="1"/>
  </cols>
  <sheetData>
    <row r="3" spans="2:14" x14ac:dyDescent="0.3">
      <c r="B3" s="64" t="s">
        <v>151</v>
      </c>
      <c r="C3" s="65"/>
      <c r="D3" s="65"/>
      <c r="E3" s="65"/>
      <c r="F3" s="65"/>
    </row>
    <row r="4" spans="2:14" x14ac:dyDescent="0.3">
      <c r="B4" s="44" t="s">
        <v>16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122</v>
      </c>
    </row>
    <row r="5" spans="2:14" ht="16.8" customHeight="1" x14ac:dyDescent="0.4">
      <c r="B5" s="56">
        <v>45426.020069444443</v>
      </c>
      <c r="C5" s="59">
        <v>15.428556</v>
      </c>
      <c r="D5" s="59">
        <v>19.999980000000001</v>
      </c>
      <c r="E5" s="44">
        <f>IF(F5&lt;&gt;"ACCUMULATION",D5/C5,0)</f>
        <v>1.2962962962962963</v>
      </c>
      <c r="F5" s="44" t="s">
        <v>8</v>
      </c>
      <c r="G5" s="44" t="s">
        <v>152</v>
      </c>
      <c r="H5" s="44" t="s">
        <v>153</v>
      </c>
      <c r="I5">
        <f>IF(OR($F5="BUY",$F5="FARM"),C5,-C5)</f>
        <v>15.428556</v>
      </c>
      <c r="J5">
        <f>IF($F5="BUY",-D5,D5)</f>
        <v>-19.999980000000001</v>
      </c>
    </row>
    <row r="6" spans="2:14" ht="16.8" customHeight="1" x14ac:dyDescent="0.4">
      <c r="B6" s="56">
        <v>45426.025439814817</v>
      </c>
      <c r="C6" s="59">
        <v>138.32253900000001</v>
      </c>
      <c r="D6" s="59">
        <v>179.99930000000001</v>
      </c>
      <c r="E6" s="44">
        <f>IF(F6&lt;&gt;"ACCUMULATION",D6/C6,0)</f>
        <v>1.3013013013013013</v>
      </c>
      <c r="F6" s="44" t="s">
        <v>8</v>
      </c>
      <c r="G6" s="44" t="s">
        <v>152</v>
      </c>
      <c r="H6" s="44" t="s">
        <v>153</v>
      </c>
      <c r="I6">
        <f>IF(OR($F6="BUY",$F6="FARM"),C6,-C6)</f>
        <v>138.32253900000001</v>
      </c>
      <c r="J6">
        <f>IF($F6="BUY",-D6,D6)</f>
        <v>-179.99930000000001</v>
      </c>
    </row>
    <row r="7" spans="2:14" ht="16.8" customHeight="1" x14ac:dyDescent="0.4">
      <c r="B7" s="56">
        <v>45484.620289351849</v>
      </c>
      <c r="C7" s="59">
        <v>237.544218</v>
      </c>
      <c r="D7" s="59">
        <v>100</v>
      </c>
      <c r="E7" s="44">
        <f>IF(F7&lt;&gt;"ACCUMULATION",D7/C7,0)</f>
        <v>0.42097425414917911</v>
      </c>
      <c r="F7" s="44" t="s">
        <v>8</v>
      </c>
      <c r="G7" s="44" t="s">
        <v>152</v>
      </c>
      <c r="H7" s="44" t="s">
        <v>153</v>
      </c>
      <c r="I7">
        <f>IF(OR($F7="BUY",$F7="FARM"),C7,-C7)</f>
        <v>237.544218</v>
      </c>
      <c r="J7">
        <f>IF($F7="BUY",-D7,D7)</f>
        <v>-100</v>
      </c>
    </row>
    <row r="8" spans="2:14" x14ac:dyDescent="0.3">
      <c r="B8" s="6"/>
      <c r="C8" s="43"/>
      <c r="D8" s="43"/>
      <c r="E8" s="43"/>
      <c r="F8" s="43"/>
    </row>
    <row r="9" spans="2:14" x14ac:dyDescent="0.3">
      <c r="B9" s="6"/>
      <c r="C9" s="43"/>
      <c r="D9" s="43"/>
      <c r="E9" s="43"/>
      <c r="F9" s="43"/>
    </row>
    <row r="10" spans="2:14" x14ac:dyDescent="0.3">
      <c r="B10" s="6"/>
      <c r="C10" s="43"/>
      <c r="D10" s="43"/>
      <c r="E10" s="43"/>
      <c r="F10" s="43"/>
    </row>
    <row r="11" spans="2:14" x14ac:dyDescent="0.3">
      <c r="B11" s="6"/>
      <c r="C11" s="43"/>
      <c r="D11" s="43"/>
      <c r="E11" s="43"/>
      <c r="F11" s="43"/>
    </row>
    <row r="12" spans="2:14" x14ac:dyDescent="0.3">
      <c r="B12" s="6"/>
      <c r="C12" s="43"/>
      <c r="D12" s="43"/>
      <c r="E12" s="43"/>
      <c r="F12" s="43"/>
    </row>
    <row r="13" spans="2:14" x14ac:dyDescent="0.3">
      <c r="B13" s="6"/>
      <c r="C13" s="43"/>
      <c r="D13" s="43"/>
      <c r="E13" s="43"/>
      <c r="F13" s="43"/>
    </row>
    <row r="14" spans="2:14" x14ac:dyDescent="0.3">
      <c r="B14" s="6"/>
      <c r="C14" s="43"/>
      <c r="D14" s="43"/>
      <c r="E14" s="43"/>
      <c r="F14" s="43"/>
      <c r="L14" t="s">
        <v>3</v>
      </c>
      <c r="M14" t="s">
        <v>11</v>
      </c>
      <c r="N14" t="s">
        <v>12</v>
      </c>
    </row>
    <row r="15" spans="2:14" x14ac:dyDescent="0.3">
      <c r="B15" s="6"/>
      <c r="C15" s="43"/>
      <c r="D15" s="43"/>
      <c r="E15" s="43"/>
      <c r="F15" s="43"/>
      <c r="L15">
        <f>SUM($I1:$I31)</f>
        <v>391.29531300000002</v>
      </c>
      <c r="M15">
        <f>-SUM($J1:$J31)</f>
        <v>299.99928</v>
      </c>
      <c r="N15">
        <f>M15/L15</f>
        <v>0.76668252859956942</v>
      </c>
    </row>
  </sheetData>
  <mergeCells count="1">
    <mergeCell ref="B3:F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9"/>
  <sheetViews>
    <sheetView tabSelected="1" workbookViewId="0">
      <selection activeCell="D14" sqref="D14"/>
    </sheetView>
  </sheetViews>
  <sheetFormatPr defaultRowHeight="14.4" x14ac:dyDescent="0.3"/>
  <cols>
    <col min="2" max="2" width="18.109375" bestFit="1" customWidth="1"/>
  </cols>
  <sheetData>
    <row r="3" spans="2:10" x14ac:dyDescent="0.3">
      <c r="B3" s="66" t="s">
        <v>154</v>
      </c>
      <c r="C3" s="63"/>
      <c r="D3" s="63"/>
      <c r="E3" s="63"/>
      <c r="F3" s="63"/>
      <c r="G3" s="63"/>
      <c r="H3" s="63"/>
    </row>
    <row r="4" spans="2:10" x14ac:dyDescent="0.3">
      <c r="B4" s="60" t="s">
        <v>16</v>
      </c>
      <c r="C4" s="60" t="s">
        <v>3</v>
      </c>
      <c r="D4" s="60" t="s">
        <v>4</v>
      </c>
      <c r="E4" s="60" t="s">
        <v>5</v>
      </c>
      <c r="F4" s="60" t="s">
        <v>6</v>
      </c>
      <c r="G4" s="60" t="s">
        <v>7</v>
      </c>
      <c r="H4" t="s">
        <v>122</v>
      </c>
    </row>
    <row r="5" spans="2:10" x14ac:dyDescent="0.3">
      <c r="B5" s="61">
        <v>45330.006249999999</v>
      </c>
      <c r="C5" t="s">
        <v>155</v>
      </c>
      <c r="D5" t="s">
        <v>156</v>
      </c>
      <c r="E5" t="s">
        <v>157</v>
      </c>
      <c r="F5" t="s">
        <v>8</v>
      </c>
      <c r="G5" t="s">
        <v>132</v>
      </c>
      <c r="H5" t="s">
        <v>153</v>
      </c>
      <c r="I5" t="str">
        <f>IF(OR($F5="BUY",$F5="FARM"),C5,-C5)</f>
        <v>17.50000000</v>
      </c>
      <c r="J5">
        <f>IF($F5 = "BUY", -D5, D5)</f>
        <v>-100.59</v>
      </c>
    </row>
    <row r="6" spans="2:10" x14ac:dyDescent="0.3">
      <c r="B6" s="61">
        <v>45448.993055555547</v>
      </c>
      <c r="C6" t="s">
        <v>158</v>
      </c>
      <c r="D6" t="s">
        <v>159</v>
      </c>
      <c r="E6" t="s">
        <v>160</v>
      </c>
      <c r="F6" t="s">
        <v>8</v>
      </c>
      <c r="G6" t="s">
        <v>132</v>
      </c>
      <c r="H6" t="s">
        <v>153</v>
      </c>
      <c r="I6" t="str">
        <f>IF(OR($F5="BUY",$F6="FARM"),C6,-C6)</f>
        <v>38.90000000</v>
      </c>
      <c r="J6">
        <f>IF($F6 = "BUY", -D6, D6)</f>
        <v>-124.5189</v>
      </c>
    </row>
    <row r="7" spans="2:10" x14ac:dyDescent="0.3">
      <c r="B7" s="61">
        <v>45448.993055555547</v>
      </c>
      <c r="C7" t="s">
        <v>161</v>
      </c>
      <c r="D7" t="s">
        <v>162</v>
      </c>
      <c r="E7" t="s">
        <v>160</v>
      </c>
      <c r="F7" t="s">
        <v>8</v>
      </c>
      <c r="G7" t="s">
        <v>132</v>
      </c>
      <c r="H7" t="s">
        <v>153</v>
      </c>
      <c r="I7" t="str">
        <f>IF(OR($F5="BUY",$F7="FARM"),C7,-C7)</f>
        <v>5.40000000</v>
      </c>
      <c r="J7">
        <f>IF($F7 = "BUY", -D7, D7)</f>
        <v>-17.285399999999999</v>
      </c>
    </row>
    <row r="8" spans="2:10" x14ac:dyDescent="0.3">
      <c r="B8" s="61">
        <v>45448.993055555547</v>
      </c>
      <c r="C8" t="s">
        <v>163</v>
      </c>
      <c r="D8" t="s">
        <v>164</v>
      </c>
      <c r="E8" t="s">
        <v>160</v>
      </c>
      <c r="F8" t="s">
        <v>8</v>
      </c>
      <c r="G8" t="s">
        <v>132</v>
      </c>
      <c r="H8" t="s">
        <v>153</v>
      </c>
      <c r="I8" t="str">
        <f>IF(OR($F5="BUY",$F8="FARM"),C8,-C8)</f>
        <v>80.60000000</v>
      </c>
      <c r="J8">
        <f>IF($F8 = "BUY", -D8, D8)</f>
        <v>-258.00060000000002</v>
      </c>
    </row>
    <row r="9" spans="2:10" x14ac:dyDescent="0.3">
      <c r="B9" s="61">
        <v>45450.913888888892</v>
      </c>
      <c r="C9" t="s">
        <v>165</v>
      </c>
      <c r="D9" t="s">
        <v>166</v>
      </c>
      <c r="E9" t="s">
        <v>167</v>
      </c>
      <c r="F9" t="s">
        <v>8</v>
      </c>
      <c r="G9" t="s">
        <v>132</v>
      </c>
      <c r="H9" t="s">
        <v>153</v>
      </c>
      <c r="I9" t="str">
        <f>IF(OR($F5="BUY",$F9="FARM"),C9,-C9)</f>
        <v>36.60000000</v>
      </c>
      <c r="J9">
        <f>IF($F9 = "BUY", -D9, D9)</f>
        <v>-99.991200000000006</v>
      </c>
    </row>
  </sheetData>
  <mergeCells count="1"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GALA</vt:lpstr>
      <vt:lpstr>LINK</vt:lpstr>
      <vt:lpstr>BAKE</vt:lpstr>
      <vt:lpstr>AVAX</vt:lpstr>
      <vt:lpstr>SOL</vt:lpstr>
      <vt:lpstr>HBAR</vt:lpstr>
      <vt:lpstr>MANA</vt:lpstr>
      <vt:lpstr>ATOM</vt:lpstr>
      <vt:lpstr>BAT</vt:lpstr>
      <vt:lpstr>MOVR</vt:lpstr>
      <vt:lpstr>ICP</vt:lpstr>
      <vt:lpstr>FIL</vt:lpstr>
      <vt:lpstr>ADA</vt:lpstr>
      <vt:lpstr>ARB</vt:lpstr>
      <vt:lpstr>MATIC</vt:lpstr>
      <vt:lpstr>CAKE</vt:lpstr>
      <vt:lpstr>AXS</vt:lpstr>
      <vt:lpstr>CTSI</vt:lpstr>
      <vt:lpstr>AR</vt:lpstr>
      <vt:lpstr>FLUX</vt:lpstr>
      <vt:lpstr>DAO</vt:lpstr>
      <vt:lpstr>CWIF</vt:lpstr>
      <vt:lpstr>Targets</vt:lpstr>
      <vt:lpstr>Deposit</vt:lpstr>
      <vt:lpstr>XEN</vt:lpstr>
      <vt:lpstr>SRM</vt:lpstr>
      <vt:lpstr>TAP</vt:lpstr>
      <vt:lpstr>VMINT</vt:lpstr>
      <vt:lpstr>AIPAD</vt:lpstr>
      <vt:lpstr>GRAPE</vt:lpstr>
      <vt:lpstr>VAI</vt:lpstr>
      <vt:lpstr>MANIA</vt:lpstr>
      <vt:lpstr>QUBIC</vt:lpstr>
      <vt:lpstr>BBL</vt:lpstr>
      <vt:lpstr>PYR</vt:lpstr>
      <vt:lpstr>SHDW</vt:lpstr>
      <vt:lpstr>BEAMX</vt:lpstr>
      <vt:lpstr>CSIX</vt:lpstr>
      <vt:lpstr>GPU</vt:lpstr>
      <vt:lpstr>DYM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Krisz</cp:lastModifiedBy>
  <dcterms:created xsi:type="dcterms:W3CDTF">2006-09-16T00:00:00Z</dcterms:created>
  <dcterms:modified xsi:type="dcterms:W3CDTF">2024-07-19T17:41:04Z</dcterms:modified>
</cp:coreProperties>
</file>