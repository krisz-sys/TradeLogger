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MOVR" sheetId="19" r:id="rId1"/>
    <sheet name="ICP" sheetId="25" r:id="rId2"/>
    <sheet name="FIL" sheetId="6" r:id="rId3"/>
    <sheet name="CAKE" sheetId="10" r:id="rId4"/>
    <sheet name="AXS" sheetId="11" r:id="rId5"/>
    <sheet name="CTSI" sheetId="20" r:id="rId6"/>
    <sheet name="AR" sheetId="23" r:id="rId7"/>
    <sheet name="FLUX" sheetId="26" r:id="rId8"/>
  </sheets>
  <calcPr calcId="144525"/>
</workbook>
</file>

<file path=xl/calcChain.xml><?xml version="1.0" encoding="utf-8"?>
<calcChain xmlns="http://schemas.openxmlformats.org/spreadsheetml/2006/main">
  <c r="E5" i="20" l="1"/>
  <c r="H9" i="25" l="1"/>
  <c r="I9" i="25"/>
  <c r="E9" i="25"/>
  <c r="E6" i="26" l="1"/>
  <c r="H6" i="26"/>
  <c r="I6" i="26"/>
  <c r="H15" i="19" l="1"/>
  <c r="I15" i="19"/>
  <c r="H16" i="19"/>
  <c r="I16" i="19"/>
  <c r="H17" i="19"/>
  <c r="I17" i="19"/>
  <c r="H18" i="19"/>
  <c r="I18" i="19"/>
  <c r="H19" i="19"/>
  <c r="I19" i="19"/>
  <c r="H20" i="19"/>
  <c r="I20" i="19"/>
  <c r="H21" i="19"/>
  <c r="I21" i="19"/>
  <c r="H22" i="19"/>
  <c r="I22" i="19"/>
  <c r="E22" i="19"/>
  <c r="E15" i="19"/>
  <c r="E16" i="19"/>
  <c r="E17" i="19"/>
  <c r="E18" i="19"/>
  <c r="E19" i="19"/>
  <c r="E20" i="19"/>
  <c r="E21" i="19"/>
  <c r="J7" i="10" l="1"/>
  <c r="J8" i="10"/>
  <c r="J9" i="10"/>
  <c r="J10" i="10"/>
  <c r="J11" i="10"/>
  <c r="J12" i="10"/>
  <c r="J13" i="10"/>
  <c r="J14" i="10"/>
  <c r="J6" i="10"/>
  <c r="I7" i="10"/>
  <c r="I8" i="10"/>
  <c r="I9" i="10"/>
  <c r="I10" i="10"/>
  <c r="I11" i="10"/>
  <c r="I12" i="10"/>
  <c r="I13" i="10"/>
  <c r="I14" i="10"/>
  <c r="I6" i="10"/>
  <c r="H6" i="25" l="1"/>
  <c r="I6" i="25"/>
  <c r="H7" i="25"/>
  <c r="I7" i="25"/>
  <c r="H8" i="25"/>
  <c r="I8" i="25"/>
  <c r="E6" i="25"/>
  <c r="E7" i="25"/>
  <c r="E8" i="25"/>
  <c r="H8" i="23" l="1"/>
  <c r="E8" i="23"/>
  <c r="H14" i="19"/>
  <c r="I14" i="19"/>
  <c r="E14" i="19"/>
  <c r="H13" i="19"/>
  <c r="I13" i="19"/>
  <c r="E13" i="19"/>
  <c r="E7" i="23"/>
  <c r="H7" i="23"/>
  <c r="I5" i="26" l="1"/>
  <c r="H5" i="26"/>
  <c r="E5" i="26"/>
  <c r="I5" i="25" l="1"/>
  <c r="H5" i="25"/>
  <c r="E5" i="25"/>
  <c r="H6" i="23" l="1"/>
  <c r="I6" i="23"/>
  <c r="E6" i="23"/>
  <c r="I5" i="23"/>
  <c r="H5" i="23"/>
  <c r="E5" i="23"/>
  <c r="H19" i="11"/>
  <c r="I19" i="11"/>
  <c r="E19" i="11"/>
  <c r="H17" i="11"/>
  <c r="I17" i="11"/>
  <c r="I7" i="11"/>
  <c r="I8" i="11"/>
  <c r="I9" i="11"/>
  <c r="I10" i="11"/>
  <c r="I11" i="11"/>
  <c r="I12" i="11"/>
  <c r="I13" i="11"/>
  <c r="I14" i="11"/>
  <c r="I15" i="11"/>
  <c r="I16" i="11"/>
  <c r="I6" i="11"/>
  <c r="H6" i="11"/>
  <c r="H7" i="11"/>
  <c r="H8" i="11"/>
  <c r="H9" i="11"/>
  <c r="H10" i="11"/>
  <c r="H11" i="11"/>
  <c r="H12" i="11"/>
  <c r="H13" i="11"/>
  <c r="H14" i="11"/>
  <c r="H15" i="11"/>
  <c r="H16" i="11"/>
  <c r="H12" i="19" l="1"/>
  <c r="I12" i="19"/>
  <c r="E12" i="19"/>
  <c r="H44" i="6" l="1"/>
  <c r="I44" i="6"/>
  <c r="E44" i="6"/>
  <c r="H13" i="20" l="1"/>
  <c r="I13" i="20"/>
  <c r="H12" i="20"/>
  <c r="I12" i="20"/>
  <c r="E11" i="19"/>
  <c r="E10" i="19"/>
  <c r="F14" i="10"/>
  <c r="H43" i="6" l="1"/>
  <c r="I43" i="6"/>
  <c r="E43" i="6"/>
  <c r="H42" i="6"/>
  <c r="I42" i="6"/>
  <c r="E42" i="6"/>
  <c r="H10" i="20" l="1"/>
  <c r="I10" i="20"/>
  <c r="H11" i="20"/>
  <c r="I11" i="20"/>
  <c r="E9" i="19"/>
  <c r="H9" i="20" l="1"/>
  <c r="I9" i="20"/>
  <c r="I8" i="20"/>
  <c r="H8" i="20"/>
  <c r="I7" i="20"/>
  <c r="H7" i="20"/>
  <c r="I6" i="20"/>
  <c r="H6" i="20"/>
  <c r="I5" i="20"/>
  <c r="H5" i="20"/>
  <c r="F8" i="10"/>
  <c r="F9" i="10"/>
  <c r="F10" i="10"/>
  <c r="F11" i="10"/>
  <c r="F12" i="10"/>
  <c r="F13" i="10"/>
  <c r="H41" i="6" l="1"/>
  <c r="I41" i="6"/>
  <c r="E41" i="6"/>
  <c r="H40" i="6"/>
  <c r="I40" i="6"/>
  <c r="E40" i="6"/>
  <c r="H39" i="6"/>
  <c r="I39" i="6"/>
  <c r="E39" i="6"/>
  <c r="E6" i="19"/>
  <c r="E7" i="19"/>
  <c r="E8" i="19"/>
  <c r="H6" i="19"/>
  <c r="I6" i="19"/>
  <c r="H7" i="19"/>
  <c r="I7" i="19"/>
  <c r="H8" i="19"/>
  <c r="I8" i="19"/>
  <c r="H9" i="19"/>
  <c r="I9" i="19"/>
  <c r="H10" i="19"/>
  <c r="I10" i="19"/>
  <c r="H11" i="19"/>
  <c r="I11" i="19"/>
  <c r="I5" i="19"/>
  <c r="H5" i="19"/>
  <c r="E5" i="19"/>
  <c r="H38" i="6" l="1"/>
  <c r="I38" i="6"/>
  <c r="H37" i="6"/>
  <c r="I37" i="6"/>
  <c r="H36" i="6"/>
  <c r="I36" i="6"/>
  <c r="E36" i="6"/>
  <c r="E37" i="6"/>
  <c r="E38" i="6"/>
  <c r="H35" i="6"/>
  <c r="I35" i="6"/>
  <c r="E35" i="6"/>
  <c r="E17" i="11"/>
  <c r="I23" i="6" l="1"/>
  <c r="H23" i="6"/>
  <c r="E23" i="6"/>
  <c r="H34" i="6" l="1"/>
  <c r="E34" i="6"/>
  <c r="I34" i="6"/>
  <c r="E16" i="11" l="1"/>
  <c r="E15" i="11" l="1"/>
  <c r="E33" i="6"/>
  <c r="H33" i="6"/>
  <c r="I33" i="6"/>
  <c r="H32" i="6" l="1"/>
  <c r="I32" i="6"/>
  <c r="E32" i="6"/>
  <c r="E14" i="11"/>
  <c r="I30" i="6" l="1"/>
  <c r="H31" i="6"/>
  <c r="I31" i="6"/>
  <c r="E31" i="6"/>
  <c r="I29" i="6"/>
  <c r="E30" i="6"/>
  <c r="E29" i="6"/>
  <c r="H28" i="6"/>
  <c r="I28" i="6"/>
  <c r="E28" i="6"/>
  <c r="E10" i="11" l="1"/>
  <c r="E11" i="11"/>
  <c r="E12" i="11"/>
  <c r="E13" i="11"/>
  <c r="E8" i="11"/>
  <c r="E9" i="11"/>
  <c r="E7" i="11"/>
  <c r="E6" i="11"/>
  <c r="F7" i="10"/>
  <c r="H27" i="6" l="1"/>
  <c r="I27" i="6"/>
  <c r="H26" i="6"/>
  <c r="I26" i="6"/>
  <c r="E27" i="6"/>
  <c r="E26" i="6"/>
  <c r="F6" i="10"/>
  <c r="I12" i="6" l="1"/>
  <c r="E12" i="6"/>
  <c r="H24" i="6"/>
  <c r="I24" i="6"/>
  <c r="H25" i="6"/>
  <c r="I25" i="6"/>
  <c r="E25" i="6"/>
  <c r="E24" i="6"/>
  <c r="H22" i="6" l="1"/>
  <c r="I22" i="6"/>
  <c r="H16" i="6" l="1"/>
  <c r="I16" i="6"/>
  <c r="E16" i="6"/>
  <c r="I21" i="6"/>
  <c r="E21" i="6"/>
  <c r="H20" i="6"/>
  <c r="I20" i="6"/>
  <c r="E20" i="6"/>
  <c r="H19" i="6"/>
  <c r="I19" i="6"/>
  <c r="E19" i="6"/>
  <c r="H18" i="6"/>
  <c r="I18" i="6"/>
  <c r="E18" i="6"/>
  <c r="H17" i="6"/>
  <c r="I17" i="6"/>
  <c r="E17" i="6"/>
  <c r="H15" i="6"/>
  <c r="I15" i="6"/>
  <c r="E15" i="6"/>
  <c r="H14" i="6"/>
  <c r="I14" i="6"/>
  <c r="E14" i="6"/>
  <c r="H13" i="6"/>
  <c r="I13" i="6"/>
  <c r="E13" i="6"/>
  <c r="I11" i="6" l="1"/>
  <c r="H11" i="6"/>
  <c r="E11" i="6"/>
  <c r="H5" i="6" l="1"/>
  <c r="I5" i="6"/>
  <c r="H6" i="6"/>
  <c r="I6" i="6"/>
  <c r="H7" i="6"/>
  <c r="I7" i="6"/>
  <c r="H8" i="6"/>
  <c r="I8" i="6"/>
  <c r="H9" i="6"/>
  <c r="I9" i="6"/>
  <c r="H10" i="6"/>
  <c r="I10" i="6"/>
  <c r="E7" i="6"/>
  <c r="E8" i="6"/>
  <c r="E9" i="6"/>
  <c r="E10" i="6"/>
  <c r="E5" i="6" l="1"/>
  <c r="E6" i="6"/>
</calcChain>
</file>

<file path=xl/sharedStrings.xml><?xml version="1.0" encoding="utf-8"?>
<sst xmlns="http://schemas.openxmlformats.org/spreadsheetml/2006/main" count="236" uniqueCount="26">
  <si>
    <t>Ammount</t>
  </si>
  <si>
    <t>Price(USD)</t>
  </si>
  <si>
    <t>Cost(USD)</t>
  </si>
  <si>
    <t>Action</t>
  </si>
  <si>
    <t>BUY</t>
  </si>
  <si>
    <t>SELL</t>
  </si>
  <si>
    <t>???</t>
  </si>
  <si>
    <t>Date &amp; Time</t>
  </si>
  <si>
    <t>FIL</t>
  </si>
  <si>
    <t>????</t>
  </si>
  <si>
    <t>ACCUMULATION</t>
  </si>
  <si>
    <t>CAKE</t>
  </si>
  <si>
    <t>??</t>
  </si>
  <si>
    <t>AXS</t>
  </si>
  <si>
    <t>DEPOSIT</t>
  </si>
  <si>
    <t xml:space="preserve"> </t>
  </si>
  <si>
    <t>Platform</t>
  </si>
  <si>
    <t>Binance(CEX)</t>
  </si>
  <si>
    <t>BitGet(CEX)</t>
  </si>
  <si>
    <t>REDEEMED</t>
  </si>
  <si>
    <t>MOVR</t>
  </si>
  <si>
    <t>CTSI</t>
  </si>
  <si>
    <t>AR</t>
  </si>
  <si>
    <t>ICP</t>
  </si>
  <si>
    <t>FLUX</t>
  </si>
  <si>
    <t>OKX(CEX)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</si>
</sst>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7"/>
      <color rgb="FF707A8A"/>
      <name val="Arial"/>
      <family val="2"/>
    </font>
    <font>
      <sz val="8"/>
      <color rgb="FF1E23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22" fontId="0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2" fontId="0" fillId="2" borderId="1" xfId="0" applyNumberFormat="1" applyFont="1" applyFill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3" borderId="0" xfId="0" applyFill="1"/>
    <xf numFmtId="22" fontId="0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22" fontId="0" fillId="0" borderId="1" xfId="0" applyNumberFormat="1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22" fontId="2" fillId="0" borderId="1" xfId="0" applyNumberFormat="1" applyFont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2"/>
  <sheetViews>
    <sheetView tabSelected="1" workbookViewId="0">
      <selection activeCell="K10" sqref="K10"/>
    </sheetView>
  </sheetViews>
  <sheetFormatPr defaultRowHeight="14.4" x14ac:dyDescent="0.3"/>
  <cols>
    <col min="2" max="2" width="21.5546875" bestFit="1" customWidth="1"/>
    <col min="4" max="4" width="10" bestFit="1" customWidth="1"/>
    <col min="5" max="5" width="12" bestFit="1" customWidth="1"/>
  </cols>
  <sheetData>
    <row r="3" spans="2:9" x14ac:dyDescent="0.3">
      <c r="B3" s="27" t="s">
        <v>20</v>
      </c>
      <c r="C3" s="27"/>
      <c r="D3" s="27"/>
      <c r="E3" s="27"/>
      <c r="F3" s="27"/>
    </row>
    <row r="4" spans="2:9" x14ac:dyDescent="0.3">
      <c r="B4" s="1" t="s">
        <v>7</v>
      </c>
      <c r="C4" s="1" t="s">
        <v>0</v>
      </c>
      <c r="D4" s="1" t="s">
        <v>2</v>
      </c>
      <c r="E4" s="1" t="s">
        <v>1</v>
      </c>
      <c r="F4" s="1" t="s">
        <v>3</v>
      </c>
    </row>
    <row r="5" spans="2:9" x14ac:dyDescent="0.3">
      <c r="B5" s="4">
        <v>45030.931574074071</v>
      </c>
      <c r="C5" s="1">
        <v>2.31</v>
      </c>
      <c r="D5" s="1">
        <v>20</v>
      </c>
      <c r="E5" s="1">
        <f t="shared" ref="E5:E11" si="0">D5/C5</f>
        <v>8.6580086580086579</v>
      </c>
      <c r="F5" s="1" t="s">
        <v>4</v>
      </c>
      <c r="H5">
        <f>IF($F5="BUY",C5,-C5)</f>
        <v>2.31</v>
      </c>
      <c r="I5">
        <f>IF($F5="BUY",-D5,D5)</f>
        <v>-20</v>
      </c>
    </row>
    <row r="6" spans="2:9" x14ac:dyDescent="0.3">
      <c r="B6" s="4">
        <v>45032.433437500003</v>
      </c>
      <c r="C6" s="1">
        <v>2.2197346200000001</v>
      </c>
      <c r="D6" s="1">
        <v>20</v>
      </c>
      <c r="E6" s="1">
        <f t="shared" si="0"/>
        <v>9.0100860795692768</v>
      </c>
      <c r="F6" s="1" t="s">
        <v>4</v>
      </c>
      <c r="H6">
        <f t="shared" ref="H6:H11" si="1">IF($F6="BUY",C6,-C6)</f>
        <v>2.2197346200000001</v>
      </c>
      <c r="I6">
        <f t="shared" ref="I6:I11" si="2">IF($F6="BUY",-D6,D6)</f>
        <v>-20</v>
      </c>
    </row>
    <row r="7" spans="2:9" x14ac:dyDescent="0.3">
      <c r="B7" s="4">
        <v>45048.529166666667</v>
      </c>
      <c r="C7" s="1">
        <v>2.75834424</v>
      </c>
      <c r="D7" s="1">
        <v>20</v>
      </c>
      <c r="E7" s="1">
        <f t="shared" si="0"/>
        <v>7.2507266170664764</v>
      </c>
      <c r="F7" s="1" t="s">
        <v>4</v>
      </c>
      <c r="H7">
        <f t="shared" si="1"/>
        <v>2.75834424</v>
      </c>
      <c r="I7">
        <f t="shared" si="2"/>
        <v>-20</v>
      </c>
    </row>
    <row r="8" spans="2:9" x14ac:dyDescent="0.3">
      <c r="B8" s="4">
        <v>45056.93472222222</v>
      </c>
      <c r="C8" s="1">
        <v>4.5331558999999997</v>
      </c>
      <c r="D8" s="1">
        <v>30</v>
      </c>
      <c r="E8" s="1">
        <f t="shared" si="0"/>
        <v>6.6179060817211255</v>
      </c>
      <c r="F8" s="1" t="s">
        <v>4</v>
      </c>
      <c r="H8">
        <f t="shared" si="1"/>
        <v>4.5331558999999997</v>
      </c>
      <c r="I8">
        <f t="shared" si="2"/>
        <v>-30</v>
      </c>
    </row>
    <row r="9" spans="2:9" x14ac:dyDescent="0.3">
      <c r="B9" s="4">
        <v>45092.808333333334</v>
      </c>
      <c r="C9" s="1">
        <v>4.2939999999999996</v>
      </c>
      <c r="D9" s="1">
        <v>20</v>
      </c>
      <c r="E9" s="1">
        <f t="shared" si="0"/>
        <v>4.6576618537494179</v>
      </c>
      <c r="F9" s="1" t="s">
        <v>4</v>
      </c>
      <c r="H9">
        <f t="shared" si="1"/>
        <v>4.2939999999999996</v>
      </c>
      <c r="I9">
        <f t="shared" si="2"/>
        <v>-20</v>
      </c>
    </row>
    <row r="10" spans="2:9" x14ac:dyDescent="0.3">
      <c r="B10" s="4">
        <v>45154.981944444444</v>
      </c>
      <c r="C10" s="1">
        <v>3.6555</v>
      </c>
      <c r="D10" s="1">
        <v>20</v>
      </c>
      <c r="E10" s="1">
        <f t="shared" si="0"/>
        <v>5.4712077691150318</v>
      </c>
      <c r="F10" s="1" t="s">
        <v>5</v>
      </c>
      <c r="H10">
        <f t="shared" si="1"/>
        <v>-3.6555</v>
      </c>
      <c r="I10">
        <f t="shared" si="2"/>
        <v>20</v>
      </c>
    </row>
    <row r="11" spans="2:9" x14ac:dyDescent="0.3">
      <c r="B11" s="4">
        <v>45156.349305555559</v>
      </c>
      <c r="C11" s="1">
        <v>4.3943000000000003</v>
      </c>
      <c r="D11" s="1">
        <v>20</v>
      </c>
      <c r="E11" s="1">
        <f t="shared" si="0"/>
        <v>4.5513506132944945</v>
      </c>
      <c r="F11" s="1" t="s">
        <v>4</v>
      </c>
      <c r="H11">
        <f t="shared" si="1"/>
        <v>4.3943000000000003</v>
      </c>
      <c r="I11">
        <f t="shared" si="2"/>
        <v>-20</v>
      </c>
    </row>
    <row r="12" spans="2:9" x14ac:dyDescent="0.3">
      <c r="B12" s="4">
        <v>45186.969363425924</v>
      </c>
      <c r="C12" s="1">
        <v>5.0653100000000002</v>
      </c>
      <c r="D12" s="1">
        <v>20</v>
      </c>
      <c r="E12" s="1">
        <f>D12/C12</f>
        <v>3.9484256639771305</v>
      </c>
      <c r="F12" s="1" t="s">
        <v>4</v>
      </c>
      <c r="H12">
        <f>IF($F12="BUY",C12,-C12)</f>
        <v>5.0653100000000002</v>
      </c>
      <c r="I12">
        <f>IF($F12="BUY",-D12,D12)</f>
        <v>-20</v>
      </c>
    </row>
    <row r="13" spans="2:9" x14ac:dyDescent="0.3">
      <c r="B13" s="4">
        <v>45251.76666666667</v>
      </c>
      <c r="C13" s="1">
        <v>10.5</v>
      </c>
      <c r="D13" s="1">
        <v>82.316100000000006</v>
      </c>
      <c r="E13" s="1">
        <f>D13/C13</f>
        <v>7.8396285714285723</v>
      </c>
      <c r="F13" s="1" t="s">
        <v>5</v>
      </c>
      <c r="H13">
        <f>IF($F13="BUY",C13,-C13)</f>
        <v>-10.5</v>
      </c>
      <c r="I13">
        <f>IF($F13="BUY",-D13,D13)</f>
        <v>82.316100000000006</v>
      </c>
    </row>
    <row r="14" spans="2:9" x14ac:dyDescent="0.3">
      <c r="B14" s="4">
        <v>45252.830555555556</v>
      </c>
      <c r="C14" s="1">
        <v>12.31265</v>
      </c>
      <c r="D14" s="1">
        <v>82.316100000000006</v>
      </c>
      <c r="E14" s="1">
        <f>D14/C14</f>
        <v>6.6854901260086175</v>
      </c>
      <c r="F14" s="1" t="s">
        <v>4</v>
      </c>
      <c r="H14">
        <f>IF($F14="BUY",C14,-C14)</f>
        <v>12.31265</v>
      </c>
      <c r="I14">
        <f>IF($F14="BUY",-D14,D14)</f>
        <v>-82.316100000000006</v>
      </c>
    </row>
    <row r="15" spans="2:9" x14ac:dyDescent="0.3">
      <c r="B15" s="4">
        <v>45283.617361111108</v>
      </c>
      <c r="C15" s="1">
        <v>7.2629999999999999</v>
      </c>
      <c r="D15" s="1">
        <v>102.233988</v>
      </c>
      <c r="E15" s="1">
        <f t="shared" ref="E15:E22" si="3">D15/C15</f>
        <v>14.076000000000001</v>
      </c>
      <c r="F15" s="5" t="s">
        <v>5</v>
      </c>
      <c r="H15">
        <f t="shared" ref="H15:H22" si="4">IF($F15="BUY",C15,-C15)</f>
        <v>-7.2629999999999999</v>
      </c>
      <c r="I15">
        <f t="shared" ref="I15:I22" si="5">IF($F15="BUY",-D15,D15)</f>
        <v>102.233988</v>
      </c>
    </row>
    <row r="16" spans="2:9" x14ac:dyDescent="0.3">
      <c r="B16" s="4">
        <v>45283.618055555555</v>
      </c>
      <c r="C16" s="1">
        <v>2.7370000000000001</v>
      </c>
      <c r="D16" s="1">
        <v>38.526012000000001</v>
      </c>
      <c r="E16" s="1">
        <f t="shared" si="3"/>
        <v>14.076000000000001</v>
      </c>
      <c r="F16" s="5" t="s">
        <v>5</v>
      </c>
      <c r="H16">
        <f t="shared" si="4"/>
        <v>-2.7370000000000001</v>
      </c>
      <c r="I16">
        <f t="shared" si="5"/>
        <v>38.526012000000001</v>
      </c>
    </row>
    <row r="17" spans="2:9" x14ac:dyDescent="0.3">
      <c r="B17" s="4">
        <v>45284.061805555553</v>
      </c>
      <c r="C17" s="1">
        <v>0.17399999999999999</v>
      </c>
      <c r="D17" s="1">
        <v>4.2341160000000002</v>
      </c>
      <c r="E17" s="1">
        <f t="shared" si="3"/>
        <v>24.334000000000003</v>
      </c>
      <c r="F17" s="5" t="s">
        <v>5</v>
      </c>
      <c r="H17">
        <f t="shared" si="4"/>
        <v>-0.17399999999999999</v>
      </c>
      <c r="I17">
        <f t="shared" si="5"/>
        <v>4.2341160000000002</v>
      </c>
    </row>
    <row r="18" spans="2:9" x14ac:dyDescent="0.3">
      <c r="B18" s="4">
        <v>45284.061805555553</v>
      </c>
      <c r="C18" s="1">
        <v>2.9239999999999999</v>
      </c>
      <c r="D18" s="1">
        <v>71.152615999999995</v>
      </c>
      <c r="E18" s="1">
        <f t="shared" si="3"/>
        <v>24.334</v>
      </c>
      <c r="F18" s="5" t="s">
        <v>5</v>
      </c>
      <c r="H18">
        <f t="shared" si="4"/>
        <v>-2.9239999999999999</v>
      </c>
      <c r="I18">
        <f t="shared" si="5"/>
        <v>71.152615999999995</v>
      </c>
    </row>
    <row r="19" spans="2:9" x14ac:dyDescent="0.3">
      <c r="B19" s="4">
        <v>45284.061805555553</v>
      </c>
      <c r="C19" s="1">
        <v>2.9020000000000001</v>
      </c>
      <c r="D19" s="1">
        <v>70.61</v>
      </c>
      <c r="E19" s="1">
        <f t="shared" si="3"/>
        <v>24.331495520330805</v>
      </c>
      <c r="F19" s="5" t="s">
        <v>5</v>
      </c>
      <c r="H19">
        <f t="shared" si="4"/>
        <v>-2.9020000000000001</v>
      </c>
      <c r="I19">
        <f t="shared" si="5"/>
        <v>70.61</v>
      </c>
    </row>
    <row r="20" spans="2:9" x14ac:dyDescent="0.3">
      <c r="B20" s="4">
        <v>45284.512499999997</v>
      </c>
      <c r="C20" s="1">
        <v>2.6139999999999999</v>
      </c>
      <c r="D20" s="1">
        <v>100.57365</v>
      </c>
      <c r="E20" s="1">
        <f t="shared" si="3"/>
        <v>38.475000000000001</v>
      </c>
      <c r="F20" s="5" t="s">
        <v>5</v>
      </c>
      <c r="H20">
        <f t="shared" si="4"/>
        <v>-2.6139999999999999</v>
      </c>
      <c r="I20">
        <f t="shared" si="5"/>
        <v>100.57365</v>
      </c>
    </row>
    <row r="21" spans="2:9" x14ac:dyDescent="0.3">
      <c r="B21" s="4">
        <v>45284.512499999997</v>
      </c>
      <c r="C21" s="1">
        <v>4.4390000000000001</v>
      </c>
      <c r="D21" s="1">
        <v>170.914817</v>
      </c>
      <c r="E21" s="1">
        <f t="shared" si="3"/>
        <v>38.503</v>
      </c>
      <c r="F21" s="5" t="s">
        <v>5</v>
      </c>
      <c r="H21">
        <f t="shared" si="4"/>
        <v>-4.4390000000000001</v>
      </c>
      <c r="I21">
        <f t="shared" si="5"/>
        <v>170.914817</v>
      </c>
    </row>
    <row r="22" spans="2:9" x14ac:dyDescent="0.3">
      <c r="B22" s="4">
        <v>45284.512499999997</v>
      </c>
      <c r="C22" s="1">
        <v>0.66700000000000004</v>
      </c>
      <c r="D22" s="1">
        <v>25.68</v>
      </c>
      <c r="E22" s="1">
        <f t="shared" si="3"/>
        <v>38.500749625187403</v>
      </c>
      <c r="F22" s="5" t="s">
        <v>5</v>
      </c>
      <c r="H22">
        <f t="shared" si="4"/>
        <v>-0.66700000000000004</v>
      </c>
      <c r="I22">
        <f t="shared" si="5"/>
        <v>25.68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6"/>
  <sheetViews>
    <sheetView zoomScale="130" zoomScaleNormal="130" workbookViewId="0">
      <selection activeCell="D12" sqref="D12"/>
    </sheetView>
  </sheetViews>
  <sheetFormatPr defaultRowHeight="14.4" x14ac:dyDescent="0.3"/>
  <cols>
    <col min="2" max="2" width="16.33203125" bestFit="1" customWidth="1"/>
    <col min="6" max="6" width="6.21875" bestFit="1" customWidth="1"/>
    <col min="7" max="7" width="11.6640625" bestFit="1" customWidth="1"/>
  </cols>
  <sheetData>
    <row r="3" spans="2:9" x14ac:dyDescent="0.3">
      <c r="B3" s="27" t="s">
        <v>23</v>
      </c>
      <c r="C3" s="27"/>
      <c r="D3" s="27"/>
      <c r="E3" s="27"/>
      <c r="F3" s="27"/>
    </row>
    <row r="4" spans="2:9" x14ac:dyDescent="0.3">
      <c r="B4" s="1" t="s">
        <v>7</v>
      </c>
      <c r="C4" s="1" t="s">
        <v>0</v>
      </c>
      <c r="D4" s="1" t="s">
        <v>2</v>
      </c>
      <c r="E4" s="1" t="s">
        <v>1</v>
      </c>
      <c r="F4" s="1" t="s">
        <v>3</v>
      </c>
      <c r="G4" s="5" t="s">
        <v>16</v>
      </c>
    </row>
    <row r="5" spans="2:9" x14ac:dyDescent="0.3">
      <c r="B5" s="4">
        <v>45223.645833333336</v>
      </c>
      <c r="C5" s="1">
        <v>13.78772238</v>
      </c>
      <c r="D5" s="1">
        <v>50</v>
      </c>
      <c r="E5" s="1">
        <f t="shared" ref="E5:E9" si="0">D5/C5</f>
        <v>3.6264147639445001</v>
      </c>
      <c r="F5" s="1" t="s">
        <v>4</v>
      </c>
      <c r="G5" s="1" t="s">
        <v>17</v>
      </c>
      <c r="H5">
        <f>IF($F5="BUY",C5,-C5)</f>
        <v>13.78772238</v>
      </c>
      <c r="I5">
        <f>IF($F5="BUY",-D5,D5)</f>
        <v>-50</v>
      </c>
    </row>
    <row r="6" spans="2:9" x14ac:dyDescent="0.3">
      <c r="B6" s="4">
        <v>45264.502083333333</v>
      </c>
      <c r="C6" s="1">
        <v>13.78772238</v>
      </c>
      <c r="D6" s="1">
        <v>70.28</v>
      </c>
      <c r="E6" s="1">
        <f t="shared" si="0"/>
        <v>5.097288592200389</v>
      </c>
      <c r="F6" s="1" t="s">
        <v>5</v>
      </c>
      <c r="G6" s="1" t="s">
        <v>17</v>
      </c>
      <c r="H6">
        <f t="shared" ref="H6:H9" si="1">IF($F6="BUY",C6,-C6)</f>
        <v>-13.78772238</v>
      </c>
      <c r="I6">
        <f t="shared" ref="I6:I9" si="2">IF($F6="BUY",-D6,D6)</f>
        <v>70.28</v>
      </c>
    </row>
    <row r="7" spans="2:9" x14ac:dyDescent="0.3">
      <c r="B7" s="4">
        <v>45264.866666666669</v>
      </c>
      <c r="C7" s="1">
        <v>14.171296849999999</v>
      </c>
      <c r="D7" s="1">
        <v>70.28</v>
      </c>
      <c r="E7" s="1">
        <f t="shared" si="0"/>
        <v>4.9593202897305764</v>
      </c>
      <c r="F7" s="1" t="s">
        <v>4</v>
      </c>
      <c r="G7" s="1" t="s">
        <v>17</v>
      </c>
      <c r="H7">
        <f t="shared" si="1"/>
        <v>14.171296849999999</v>
      </c>
      <c r="I7">
        <f t="shared" si="2"/>
        <v>-70.28</v>
      </c>
    </row>
    <row r="8" spans="2:9" x14ac:dyDescent="0.3">
      <c r="B8" s="4">
        <v>45276.436805555553</v>
      </c>
      <c r="C8" s="1">
        <v>14.171296849999999</v>
      </c>
      <c r="D8" s="1">
        <v>125.57</v>
      </c>
      <c r="E8" s="1">
        <f t="shared" si="0"/>
        <v>8.8608686508461645</v>
      </c>
      <c r="F8" s="1" t="s">
        <v>5</v>
      </c>
      <c r="G8" s="1" t="s">
        <v>17</v>
      </c>
      <c r="H8">
        <f t="shared" si="1"/>
        <v>-14.171296849999999</v>
      </c>
      <c r="I8">
        <f t="shared" si="2"/>
        <v>125.57</v>
      </c>
    </row>
    <row r="9" spans="2:9" x14ac:dyDescent="0.3">
      <c r="B9" s="4">
        <v>45461.861111111109</v>
      </c>
      <c r="C9" s="1">
        <v>15.91</v>
      </c>
      <c r="D9" s="1">
        <v>125.57</v>
      </c>
      <c r="E9" s="1">
        <f t="shared" si="0"/>
        <v>7.8925204274041478</v>
      </c>
      <c r="F9" s="19" t="s">
        <v>4</v>
      </c>
      <c r="G9" s="1" t="s">
        <v>17</v>
      </c>
      <c r="H9">
        <f t="shared" si="1"/>
        <v>15.91</v>
      </c>
      <c r="I9">
        <f t="shared" si="2"/>
        <v>-125.57</v>
      </c>
    </row>
    <row r="10" spans="2:9" x14ac:dyDescent="0.3">
      <c r="B10" s="4"/>
      <c r="C10" s="24"/>
      <c r="D10" s="1"/>
      <c r="E10" s="1"/>
      <c r="F10" s="1"/>
    </row>
    <row r="11" spans="2:9" x14ac:dyDescent="0.3">
      <c r="B11" s="4"/>
      <c r="C11" s="1"/>
      <c r="D11" s="1"/>
      <c r="E11" s="1"/>
      <c r="F11" s="1"/>
    </row>
    <row r="12" spans="2:9" x14ac:dyDescent="0.3">
      <c r="B12" s="4"/>
      <c r="C12" s="1"/>
      <c r="D12" s="1"/>
      <c r="E12" s="1"/>
      <c r="F12" s="1"/>
    </row>
    <row r="13" spans="2:9" x14ac:dyDescent="0.3">
      <c r="B13" s="4"/>
      <c r="C13" s="1"/>
      <c r="D13" s="1"/>
      <c r="E13" s="1"/>
      <c r="F13" s="1"/>
    </row>
    <row r="14" spans="2:9" x14ac:dyDescent="0.3">
      <c r="B14" s="4"/>
      <c r="C14" s="1"/>
      <c r="D14" s="1"/>
      <c r="E14" s="1"/>
      <c r="F14" s="1"/>
    </row>
    <row r="15" spans="2:9" x14ac:dyDescent="0.3">
      <c r="B15" s="4"/>
      <c r="C15" s="1"/>
      <c r="D15" s="1"/>
      <c r="E15" s="1"/>
      <c r="F15" s="5"/>
    </row>
    <row r="16" spans="2:9" x14ac:dyDescent="0.3">
      <c r="B16" s="4"/>
      <c r="C16" s="1"/>
      <c r="D16" s="5"/>
      <c r="E16" s="5"/>
      <c r="F16" s="5"/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4"/>
  <sheetViews>
    <sheetView zoomScaleNormal="100" workbookViewId="0">
      <selection activeCell="D15" sqref="D15"/>
    </sheetView>
  </sheetViews>
  <sheetFormatPr defaultRowHeight="14.4" x14ac:dyDescent="0.3"/>
  <cols>
    <col min="2" max="2" width="16.21875" bestFit="1" customWidth="1"/>
    <col min="3" max="3" width="11.33203125" bestFit="1" customWidth="1"/>
    <col min="4" max="4" width="9.21875" bestFit="1" customWidth="1"/>
    <col min="5" max="5" width="12.44140625" bestFit="1" customWidth="1"/>
    <col min="6" max="6" width="15" bestFit="1" customWidth="1"/>
    <col min="7" max="7" width="11.6640625" bestFit="1" customWidth="1"/>
    <col min="8" max="8" width="12" bestFit="1" customWidth="1"/>
  </cols>
  <sheetData>
    <row r="3" spans="1:9" x14ac:dyDescent="0.3">
      <c r="B3" s="27" t="s">
        <v>8</v>
      </c>
      <c r="C3" s="27"/>
      <c r="D3" s="27"/>
      <c r="E3" s="27"/>
      <c r="F3" s="27"/>
    </row>
    <row r="4" spans="1:9" x14ac:dyDescent="0.3">
      <c r="B4" s="1" t="s">
        <v>7</v>
      </c>
      <c r="C4" s="1" t="s">
        <v>0</v>
      </c>
      <c r="D4" s="1" t="s">
        <v>2</v>
      </c>
      <c r="E4" s="1" t="s">
        <v>1</v>
      </c>
      <c r="F4" s="1" t="s">
        <v>3</v>
      </c>
      <c r="G4" s="6" t="s">
        <v>16</v>
      </c>
    </row>
    <row r="5" spans="1:9" x14ac:dyDescent="0.3">
      <c r="B5" s="4" t="s">
        <v>9</v>
      </c>
      <c r="C5" s="1">
        <v>1.6220000000000001</v>
      </c>
      <c r="D5" s="1">
        <v>10</v>
      </c>
      <c r="E5" s="1">
        <f t="shared" ref="E5:E21" si="0">D5/C5</f>
        <v>6.1652281134401967</v>
      </c>
      <c r="F5" s="1" t="s">
        <v>4</v>
      </c>
      <c r="G5" s="2" t="s">
        <v>17</v>
      </c>
      <c r="H5">
        <f>IF($F5="BUY",C5,-C5)</f>
        <v>1.6220000000000001</v>
      </c>
      <c r="I5">
        <f>IF($F5="BUY",-D5,D5)</f>
        <v>-10</v>
      </c>
    </row>
    <row r="6" spans="1:9" x14ac:dyDescent="0.3">
      <c r="B6" s="4">
        <v>44873.900694444441</v>
      </c>
      <c r="C6" s="1">
        <v>1.1160000000000001</v>
      </c>
      <c r="D6" s="1">
        <v>5</v>
      </c>
      <c r="E6" s="1">
        <f t="shared" si="0"/>
        <v>4.4802867383512543</v>
      </c>
      <c r="F6" s="1" t="s">
        <v>4</v>
      </c>
      <c r="G6" s="2" t="s">
        <v>17</v>
      </c>
      <c r="H6">
        <f>IF($F6="BUY",C6,-C6)</f>
        <v>1.1160000000000001</v>
      </c>
      <c r="I6">
        <f>IF($F6="BUY",-D6,D6)</f>
        <v>-5</v>
      </c>
    </row>
    <row r="7" spans="1:9" x14ac:dyDescent="0.3">
      <c r="B7" s="4">
        <v>44874.350694444445</v>
      </c>
      <c r="C7" s="1">
        <v>1.071</v>
      </c>
      <c r="D7" s="1">
        <v>5</v>
      </c>
      <c r="E7" s="1">
        <f t="shared" si="0"/>
        <v>4.6685340802987865</v>
      </c>
      <c r="F7" s="5" t="s">
        <v>5</v>
      </c>
      <c r="G7" s="2" t="s">
        <v>17</v>
      </c>
      <c r="H7">
        <f>IF($F7="BUY",C7,-C7)</f>
        <v>-1.071</v>
      </c>
      <c r="I7">
        <f>IF($F7="BUY",-D7,D7)</f>
        <v>5</v>
      </c>
    </row>
    <row r="8" spans="1:9" x14ac:dyDescent="0.3">
      <c r="B8" s="4">
        <v>44874.518750000003</v>
      </c>
      <c r="C8" s="1">
        <v>0.57099999999999995</v>
      </c>
      <c r="D8" s="5">
        <v>2.5</v>
      </c>
      <c r="E8" s="1">
        <f t="shared" si="0"/>
        <v>4.3782837127845884</v>
      </c>
      <c r="F8" s="5" t="s">
        <v>4</v>
      </c>
      <c r="G8" s="2" t="s">
        <v>17</v>
      </c>
      <c r="H8">
        <f>IF($F8="BUY",C8,-C8)</f>
        <v>0.57099999999999995</v>
      </c>
      <c r="I8">
        <f>IF($F8="BUY",-D8,D8)</f>
        <v>-2.5</v>
      </c>
    </row>
    <row r="9" spans="1:9" x14ac:dyDescent="0.3">
      <c r="B9" s="4">
        <v>44875.039583333331</v>
      </c>
      <c r="C9" s="1">
        <v>2.4</v>
      </c>
      <c r="D9" s="5">
        <v>10</v>
      </c>
      <c r="E9" s="1">
        <f t="shared" si="0"/>
        <v>4.166666666666667</v>
      </c>
      <c r="F9" s="5" t="s">
        <v>4</v>
      </c>
      <c r="G9" s="2" t="s">
        <v>17</v>
      </c>
      <c r="H9">
        <f>IF($F9="BUY",C9,-C9)</f>
        <v>2.4</v>
      </c>
      <c r="I9">
        <f>IF($F9="BUY",-D9,D9)</f>
        <v>-10</v>
      </c>
    </row>
    <row r="10" spans="1:9" x14ac:dyDescent="0.3">
      <c r="B10" s="4">
        <v>44875.599305555559</v>
      </c>
      <c r="C10" s="1">
        <v>0.58199999999999996</v>
      </c>
      <c r="D10" s="5">
        <v>2.5</v>
      </c>
      <c r="E10" s="1">
        <f t="shared" si="0"/>
        <v>4.2955326460481098</v>
      </c>
      <c r="F10" s="5" t="s">
        <v>4</v>
      </c>
      <c r="G10" s="2" t="s">
        <v>17</v>
      </c>
      <c r="H10">
        <f t="shared" ref="H10:H23" si="1">IF($F10="BUY",C10,-C10)</f>
        <v>0.58199999999999996</v>
      </c>
      <c r="I10">
        <f t="shared" ref="I10:I23" si="2">IF($F10="BUY",-D10,D10)</f>
        <v>-2.5</v>
      </c>
    </row>
    <row r="11" spans="1:9" x14ac:dyDescent="0.3">
      <c r="B11" s="4">
        <v>44879.949305555558</v>
      </c>
      <c r="C11" s="1">
        <v>0.58599999999999997</v>
      </c>
      <c r="D11" s="5">
        <v>2.5</v>
      </c>
      <c r="E11" s="1">
        <f t="shared" si="0"/>
        <v>4.2662116040955631</v>
      </c>
      <c r="F11" s="5" t="s">
        <v>4</v>
      </c>
      <c r="G11" s="2" t="s">
        <v>17</v>
      </c>
      <c r="H11">
        <f t="shared" si="1"/>
        <v>0.58599999999999997</v>
      </c>
      <c r="I11">
        <f t="shared" si="2"/>
        <v>-2.5</v>
      </c>
    </row>
    <row r="12" spans="1:9" x14ac:dyDescent="0.3">
      <c r="B12" s="4">
        <v>44886.879861111112</v>
      </c>
      <c r="C12" s="1">
        <v>3.8039999999999998</v>
      </c>
      <c r="D12" s="5">
        <v>0</v>
      </c>
      <c r="E12" s="1">
        <f t="shared" si="0"/>
        <v>0</v>
      </c>
      <c r="F12" s="5" t="s">
        <v>10</v>
      </c>
      <c r="G12" s="2" t="s">
        <v>17</v>
      </c>
      <c r="H12">
        <v>0</v>
      </c>
      <c r="I12">
        <f t="shared" si="2"/>
        <v>0</v>
      </c>
    </row>
    <row r="13" spans="1:9" x14ac:dyDescent="0.3">
      <c r="B13" s="4">
        <v>44886.928472222222</v>
      </c>
      <c r="C13" s="1">
        <v>1.2070000000000001</v>
      </c>
      <c r="D13" s="5">
        <v>5</v>
      </c>
      <c r="E13" s="5">
        <f t="shared" si="0"/>
        <v>4.1425020712510356</v>
      </c>
      <c r="F13" s="5" t="s">
        <v>4</v>
      </c>
      <c r="G13" s="2" t="s">
        <v>17</v>
      </c>
      <c r="H13">
        <f t="shared" si="1"/>
        <v>1.2070000000000001</v>
      </c>
      <c r="I13">
        <f t="shared" si="2"/>
        <v>-5</v>
      </c>
    </row>
    <row r="14" spans="1:9" x14ac:dyDescent="0.3">
      <c r="B14" s="4">
        <v>44911.638888888891</v>
      </c>
      <c r="C14" s="1">
        <v>1.286</v>
      </c>
      <c r="D14" s="5">
        <v>5</v>
      </c>
      <c r="E14" s="5">
        <f t="shared" si="0"/>
        <v>3.8880248833592534</v>
      </c>
      <c r="F14" s="5" t="s">
        <v>4</v>
      </c>
      <c r="G14" s="2" t="s">
        <v>17</v>
      </c>
      <c r="H14">
        <f t="shared" si="1"/>
        <v>1.286</v>
      </c>
      <c r="I14">
        <f t="shared" si="2"/>
        <v>-5</v>
      </c>
    </row>
    <row r="15" spans="1:9" x14ac:dyDescent="0.3">
      <c r="B15" s="13">
        <v>44912.030555555553</v>
      </c>
      <c r="C15" s="12">
        <v>3.6469999999999998</v>
      </c>
      <c r="D15" s="12">
        <v>10</v>
      </c>
      <c r="E15" s="12">
        <f t="shared" si="0"/>
        <v>2.7419797093501508</v>
      </c>
      <c r="F15" s="12" t="s">
        <v>4</v>
      </c>
      <c r="G15" s="2" t="s">
        <v>17</v>
      </c>
      <c r="H15">
        <f t="shared" si="1"/>
        <v>3.6469999999999998</v>
      </c>
      <c r="I15">
        <f t="shared" si="2"/>
        <v>-10</v>
      </c>
    </row>
    <row r="16" spans="1:9" x14ac:dyDescent="0.3">
      <c r="A16" s="16"/>
      <c r="B16" s="17">
        <v>44912.032743055555</v>
      </c>
      <c r="C16" s="18">
        <v>2.5091000000000001</v>
      </c>
      <c r="D16" s="18">
        <v>7.0126799999999996</v>
      </c>
      <c r="E16" s="18">
        <f t="shared" si="0"/>
        <v>2.7948985692080823</v>
      </c>
      <c r="F16" s="18" t="s">
        <v>4</v>
      </c>
      <c r="G16" s="16" t="s">
        <v>18</v>
      </c>
      <c r="H16">
        <f t="shared" si="1"/>
        <v>2.5091000000000001</v>
      </c>
      <c r="I16">
        <f t="shared" si="2"/>
        <v>-7.0126799999999996</v>
      </c>
    </row>
    <row r="17" spans="1:9" x14ac:dyDescent="0.3">
      <c r="B17" s="13">
        <v>44912.036111111112</v>
      </c>
      <c r="C17" s="12">
        <v>1.7150000000000001</v>
      </c>
      <c r="D17" s="12">
        <v>5</v>
      </c>
      <c r="E17" s="12">
        <f t="shared" si="0"/>
        <v>2.9154518950437316</v>
      </c>
      <c r="F17" s="12" t="s">
        <v>4</v>
      </c>
      <c r="G17" s="2" t="s">
        <v>17</v>
      </c>
      <c r="H17">
        <f t="shared" si="1"/>
        <v>1.7150000000000001</v>
      </c>
      <c r="I17">
        <f t="shared" si="2"/>
        <v>-5</v>
      </c>
    </row>
    <row r="18" spans="1:9" x14ac:dyDescent="0.3">
      <c r="B18" s="13">
        <v>44912.04791666667</v>
      </c>
      <c r="C18" s="12">
        <v>3.3559999999999999</v>
      </c>
      <c r="D18" s="12">
        <v>10</v>
      </c>
      <c r="E18" s="12">
        <f t="shared" si="0"/>
        <v>2.9797377830750893</v>
      </c>
      <c r="F18" s="12" t="s">
        <v>4</v>
      </c>
      <c r="G18" s="2" t="s">
        <v>17</v>
      </c>
      <c r="H18">
        <f t="shared" si="1"/>
        <v>3.3559999999999999</v>
      </c>
      <c r="I18">
        <f t="shared" si="2"/>
        <v>-10</v>
      </c>
    </row>
    <row r="19" spans="1:9" x14ac:dyDescent="0.3">
      <c r="B19" s="14">
        <v>44914.053472222222</v>
      </c>
      <c r="C19" s="15">
        <v>1.6291199999999999</v>
      </c>
      <c r="D19" s="15">
        <v>5</v>
      </c>
      <c r="E19" s="15">
        <f t="shared" si="0"/>
        <v>3.0691416224710273</v>
      </c>
      <c r="F19" s="15" t="s">
        <v>5</v>
      </c>
      <c r="G19" s="2" t="s">
        <v>17</v>
      </c>
      <c r="H19">
        <f t="shared" si="1"/>
        <v>-1.6291199999999999</v>
      </c>
      <c r="I19">
        <f t="shared" si="2"/>
        <v>5</v>
      </c>
    </row>
    <row r="20" spans="1:9" x14ac:dyDescent="0.3">
      <c r="B20" s="14">
        <v>44922.506249999999</v>
      </c>
      <c r="C20" s="15">
        <v>3.06</v>
      </c>
      <c r="D20" s="15">
        <v>10.1</v>
      </c>
      <c r="E20" s="15">
        <f t="shared" si="0"/>
        <v>3.3006535947712417</v>
      </c>
      <c r="F20" s="15" t="s">
        <v>5</v>
      </c>
      <c r="G20" s="2" t="s">
        <v>17</v>
      </c>
      <c r="H20">
        <f t="shared" si="1"/>
        <v>-3.06</v>
      </c>
      <c r="I20">
        <f t="shared" si="2"/>
        <v>10.1</v>
      </c>
    </row>
    <row r="21" spans="1:9" x14ac:dyDescent="0.3">
      <c r="B21" s="4">
        <v>44922.53402777778</v>
      </c>
      <c r="C21" s="1">
        <v>2</v>
      </c>
      <c r="D21" s="5">
        <v>0</v>
      </c>
      <c r="E21" s="5">
        <f t="shared" si="0"/>
        <v>0</v>
      </c>
      <c r="F21" s="5" t="s">
        <v>10</v>
      </c>
      <c r="G21" s="2" t="s">
        <v>17</v>
      </c>
      <c r="H21">
        <v>0</v>
      </c>
      <c r="I21">
        <f t="shared" si="2"/>
        <v>0</v>
      </c>
    </row>
    <row r="22" spans="1:9" x14ac:dyDescent="0.3">
      <c r="B22" s="4">
        <v>44928.649305555555</v>
      </c>
      <c r="C22" s="1">
        <v>3.1444000000000001</v>
      </c>
      <c r="D22" s="1">
        <v>10</v>
      </c>
      <c r="E22" s="1">
        <v>3.18</v>
      </c>
      <c r="F22" s="1" t="s">
        <v>5</v>
      </c>
      <c r="G22" s="2" t="s">
        <v>17</v>
      </c>
      <c r="H22">
        <f t="shared" si="1"/>
        <v>-3.1444000000000001</v>
      </c>
      <c r="I22">
        <f t="shared" si="2"/>
        <v>10</v>
      </c>
    </row>
    <row r="23" spans="1:9" x14ac:dyDescent="0.3">
      <c r="A23" s="16"/>
      <c r="B23" s="17">
        <v>44930.253750000003</v>
      </c>
      <c r="C23" s="18">
        <v>2.5091000000000001</v>
      </c>
      <c r="D23" s="18">
        <v>8.3051209999999998</v>
      </c>
      <c r="E23" s="18">
        <f t="shared" ref="E23:E33" si="3">D23/C23</f>
        <v>3.3099999999999996</v>
      </c>
      <c r="F23" s="18" t="s">
        <v>5</v>
      </c>
      <c r="G23" s="16" t="s">
        <v>18</v>
      </c>
      <c r="H23">
        <f t="shared" si="1"/>
        <v>-2.5091000000000001</v>
      </c>
      <c r="I23">
        <f t="shared" si="2"/>
        <v>8.3051209999999998</v>
      </c>
    </row>
    <row r="24" spans="1:9" x14ac:dyDescent="0.3">
      <c r="B24" s="4">
        <v>44931.332638888889</v>
      </c>
      <c r="C24" s="1">
        <v>1.4285000000000001</v>
      </c>
      <c r="D24" s="1">
        <v>5</v>
      </c>
      <c r="E24" s="1">
        <f t="shared" si="3"/>
        <v>3.5001750087504373</v>
      </c>
      <c r="F24" s="1" t="s">
        <v>5</v>
      </c>
      <c r="G24" s="2" t="s">
        <v>17</v>
      </c>
      <c r="H24">
        <f>IF($F24="BUY",C24,-C24)</f>
        <v>-1.4285000000000001</v>
      </c>
      <c r="I24">
        <f t="shared" ref="I24:I29" si="4">IF($F24="BUY",-D24,D24)</f>
        <v>5</v>
      </c>
    </row>
    <row r="25" spans="1:9" x14ac:dyDescent="0.3">
      <c r="B25" s="4">
        <v>44936.061111111114</v>
      </c>
      <c r="C25" s="1">
        <v>1.327</v>
      </c>
      <c r="D25" s="1">
        <v>5</v>
      </c>
      <c r="E25" s="1">
        <f t="shared" si="3"/>
        <v>3.7678975131876413</v>
      </c>
      <c r="F25" s="1" t="s">
        <v>5</v>
      </c>
      <c r="G25" s="2" t="s">
        <v>17</v>
      </c>
      <c r="H25">
        <f>IF($F25="BUY",C25,-C25)</f>
        <v>-1.327</v>
      </c>
      <c r="I25">
        <f t="shared" si="4"/>
        <v>5</v>
      </c>
    </row>
    <row r="26" spans="1:9" x14ac:dyDescent="0.3">
      <c r="B26" s="4">
        <v>44931.332638888889</v>
      </c>
      <c r="C26" s="1">
        <v>1.4279999999999999</v>
      </c>
      <c r="D26" s="5">
        <v>5</v>
      </c>
      <c r="E26" s="5">
        <f t="shared" si="3"/>
        <v>3.5014005602240896</v>
      </c>
      <c r="F26" s="5" t="s">
        <v>5</v>
      </c>
      <c r="G26" s="2" t="s">
        <v>17</v>
      </c>
      <c r="H26">
        <f>IF($F26="BUY",C26,-C26)</f>
        <v>-1.4279999999999999</v>
      </c>
      <c r="I26">
        <f t="shared" si="4"/>
        <v>5</v>
      </c>
    </row>
    <row r="27" spans="1:9" x14ac:dyDescent="0.3">
      <c r="B27" s="4">
        <v>44936.061111111114</v>
      </c>
      <c r="C27" s="1">
        <v>1.3273999999999999</v>
      </c>
      <c r="D27" s="5">
        <v>5</v>
      </c>
      <c r="E27" s="5">
        <f t="shared" si="3"/>
        <v>3.7667620913063131</v>
      </c>
      <c r="F27" s="5" t="s">
        <v>5</v>
      </c>
      <c r="G27" s="2" t="s">
        <v>17</v>
      </c>
      <c r="H27">
        <f>IF($F27="BUY",C27,-C27)</f>
        <v>-1.3273999999999999</v>
      </c>
      <c r="I27">
        <f t="shared" si="4"/>
        <v>5</v>
      </c>
    </row>
    <row r="28" spans="1:9" x14ac:dyDescent="0.3">
      <c r="B28" s="4">
        <v>44974.033333333333</v>
      </c>
      <c r="C28" s="1">
        <v>0.63584927000000002</v>
      </c>
      <c r="D28" s="5">
        <v>3.61</v>
      </c>
      <c r="E28" s="5">
        <f t="shared" si="3"/>
        <v>5.6774461658185116</v>
      </c>
      <c r="F28" s="5" t="s">
        <v>5</v>
      </c>
      <c r="G28" s="2" t="s">
        <v>17</v>
      </c>
      <c r="H28">
        <f>IF($F28="BUY",C28,-C28)</f>
        <v>-0.63584927000000002</v>
      </c>
      <c r="I28">
        <f t="shared" si="4"/>
        <v>3.61</v>
      </c>
    </row>
    <row r="29" spans="1:9" x14ac:dyDescent="0.3">
      <c r="B29" s="4">
        <v>44976.540277777778</v>
      </c>
      <c r="C29" s="1">
        <v>1</v>
      </c>
      <c r="D29" s="5">
        <v>0</v>
      </c>
      <c r="E29" s="5">
        <f t="shared" si="3"/>
        <v>0</v>
      </c>
      <c r="F29" s="5" t="s">
        <v>14</v>
      </c>
      <c r="G29" s="2" t="s">
        <v>17</v>
      </c>
      <c r="H29">
        <v>0</v>
      </c>
      <c r="I29">
        <f t="shared" si="4"/>
        <v>0</v>
      </c>
    </row>
    <row r="30" spans="1:9" x14ac:dyDescent="0.3">
      <c r="B30" s="4">
        <v>44976.55</v>
      </c>
      <c r="C30" s="1">
        <v>3.5</v>
      </c>
      <c r="D30" s="5">
        <v>0</v>
      </c>
      <c r="E30" s="5">
        <f t="shared" si="3"/>
        <v>0</v>
      </c>
      <c r="F30" s="5" t="s">
        <v>14</v>
      </c>
      <c r="G30" s="2" t="s">
        <v>17</v>
      </c>
      <c r="H30">
        <v>0</v>
      </c>
      <c r="I30">
        <f>IF($F30="BUY",-D30,D30)</f>
        <v>0</v>
      </c>
    </row>
    <row r="31" spans="1:9" x14ac:dyDescent="0.3">
      <c r="B31" s="4">
        <v>44976.585416666669</v>
      </c>
      <c r="C31" s="1">
        <v>3.5</v>
      </c>
      <c r="D31" s="5">
        <v>32.061100000000003</v>
      </c>
      <c r="E31" s="5">
        <f t="shared" si="3"/>
        <v>9.1603142857142874</v>
      </c>
      <c r="F31" s="5" t="s">
        <v>5</v>
      </c>
      <c r="G31" s="2" t="s">
        <v>17</v>
      </c>
      <c r="H31">
        <f>IF($F31="BUY",C31,-C31)</f>
        <v>-3.5</v>
      </c>
      <c r="I31">
        <f>IF($F31="BUY",-D31,D31)</f>
        <v>32.061100000000003</v>
      </c>
    </row>
    <row r="32" spans="1:9" x14ac:dyDescent="0.3">
      <c r="B32" s="4">
        <v>44981.905555555553</v>
      </c>
      <c r="C32" s="5">
        <v>3.5</v>
      </c>
      <c r="D32" s="5">
        <v>24.1435</v>
      </c>
      <c r="E32" s="5">
        <f t="shared" si="3"/>
        <v>6.8981428571428571</v>
      </c>
      <c r="F32" s="5" t="s">
        <v>4</v>
      </c>
      <c r="G32" s="2" t="s">
        <v>17</v>
      </c>
      <c r="H32">
        <f>IF($F32="BUY",C32,-C32)</f>
        <v>3.5</v>
      </c>
      <c r="I32">
        <f>IF($F32="BUY",-D32,D32)</f>
        <v>-24.1435</v>
      </c>
    </row>
    <row r="33" spans="2:9" x14ac:dyDescent="0.3">
      <c r="B33" s="4">
        <v>44982.371527777781</v>
      </c>
      <c r="C33" s="7">
        <v>1.1668472700000001</v>
      </c>
      <c r="D33" s="5">
        <v>8</v>
      </c>
      <c r="E33" s="5">
        <f t="shared" si="3"/>
        <v>6.8560815161353545</v>
      </c>
      <c r="F33" s="5" t="s">
        <v>4</v>
      </c>
      <c r="G33" s="2" t="s">
        <v>17</v>
      </c>
      <c r="H33">
        <f t="shared" ref="H33:H44" si="5">IF($F33="BUY",C33,-C33)</f>
        <v>1.1668472700000001</v>
      </c>
      <c r="I33">
        <f>IF($F33="BUY",-D33,D33)</f>
        <v>-8</v>
      </c>
    </row>
    <row r="34" spans="2:9" x14ac:dyDescent="0.3">
      <c r="B34" s="4">
        <v>44995.875694444447</v>
      </c>
      <c r="C34" s="5">
        <v>0.68755021999999999</v>
      </c>
      <c r="D34" s="11">
        <v>3.61</v>
      </c>
      <c r="E34" s="5">
        <f>D34/C34</f>
        <v>5.2505255543369618</v>
      </c>
      <c r="F34" s="5" t="s">
        <v>4</v>
      </c>
      <c r="G34" s="2" t="s">
        <v>17</v>
      </c>
      <c r="H34">
        <f t="shared" si="5"/>
        <v>0.68755021999999999</v>
      </c>
      <c r="I34">
        <f t="shared" ref="I34:I44" si="6">IF($F34="BUY",-D34,D34)</f>
        <v>-3.61</v>
      </c>
    </row>
    <row r="35" spans="2:9" x14ac:dyDescent="0.3">
      <c r="B35" s="4">
        <v>44999.736805555556</v>
      </c>
      <c r="C35" s="5">
        <v>0.68755021999999999</v>
      </c>
      <c r="D35" s="5">
        <v>4.9587889799999996</v>
      </c>
      <c r="E35" s="5">
        <f>D35/C35</f>
        <v>7.2122571351951565</v>
      </c>
      <c r="F35" s="5" t="s">
        <v>5</v>
      </c>
      <c r="G35" s="2" t="s">
        <v>17</v>
      </c>
      <c r="H35">
        <f t="shared" si="5"/>
        <v>-0.68755021999999999</v>
      </c>
      <c r="I35">
        <f t="shared" si="6"/>
        <v>4.9587889799999996</v>
      </c>
    </row>
    <row r="36" spans="2:9" x14ac:dyDescent="0.3">
      <c r="B36" s="4">
        <v>45000.87777777778</v>
      </c>
      <c r="C36" s="5">
        <v>0.88159200000000004</v>
      </c>
      <c r="D36" s="5">
        <v>4.95</v>
      </c>
      <c r="E36" s="5">
        <f t="shared" ref="E36:E44" si="7">D36/C36</f>
        <v>5.6148422399477305</v>
      </c>
      <c r="F36" s="5" t="s">
        <v>4</v>
      </c>
      <c r="G36" s="2" t="s">
        <v>17</v>
      </c>
      <c r="H36">
        <f t="shared" si="5"/>
        <v>0.88159200000000004</v>
      </c>
      <c r="I36">
        <f t="shared" si="6"/>
        <v>-4.95</v>
      </c>
    </row>
    <row r="37" spans="2:9" x14ac:dyDescent="0.3">
      <c r="B37" s="4">
        <v>45002.588194444441</v>
      </c>
      <c r="C37" s="5">
        <v>0.88159200000000004</v>
      </c>
      <c r="D37" s="5">
        <v>5.4749999999999996</v>
      </c>
      <c r="E37" s="5">
        <f t="shared" si="7"/>
        <v>6.2103558108512775</v>
      </c>
      <c r="F37" s="5" t="s">
        <v>5</v>
      </c>
      <c r="G37" s="2" t="s">
        <v>17</v>
      </c>
      <c r="H37">
        <f t="shared" si="5"/>
        <v>-0.88159200000000004</v>
      </c>
      <c r="I37">
        <f t="shared" si="6"/>
        <v>5.4749999999999996</v>
      </c>
    </row>
    <row r="38" spans="2:9" x14ac:dyDescent="0.3">
      <c r="B38" s="4">
        <v>45002.84375</v>
      </c>
      <c r="C38" s="5">
        <v>0.91960666000000002</v>
      </c>
      <c r="D38" s="5">
        <v>5.47</v>
      </c>
      <c r="E38" s="5">
        <f t="shared" si="7"/>
        <v>5.9481952860150011</v>
      </c>
      <c r="F38" s="5" t="s">
        <v>4</v>
      </c>
      <c r="G38" s="2" t="s">
        <v>17</v>
      </c>
      <c r="H38">
        <f t="shared" si="5"/>
        <v>0.91960666000000002</v>
      </c>
      <c r="I38">
        <f t="shared" si="6"/>
        <v>-5.47</v>
      </c>
    </row>
    <row r="39" spans="2:9" x14ac:dyDescent="0.3">
      <c r="B39" s="4">
        <v>45019.328472222223</v>
      </c>
      <c r="C39" s="5">
        <v>5.4883889799999999</v>
      </c>
      <c r="D39" s="5">
        <v>30</v>
      </c>
      <c r="E39" s="5">
        <f t="shared" si="7"/>
        <v>5.4660848765132535</v>
      </c>
      <c r="F39" s="5" t="s">
        <v>4</v>
      </c>
      <c r="G39" s="2" t="s">
        <v>17</v>
      </c>
      <c r="H39">
        <f t="shared" si="5"/>
        <v>5.4883889799999999</v>
      </c>
      <c r="I39">
        <f t="shared" si="6"/>
        <v>-30</v>
      </c>
    </row>
    <row r="40" spans="2:9" x14ac:dyDescent="0.3">
      <c r="B40" s="4">
        <v>45038.986805555556</v>
      </c>
      <c r="C40" s="5">
        <v>3.7793000000000001</v>
      </c>
      <c r="D40" s="5">
        <v>20</v>
      </c>
      <c r="E40" s="5">
        <f t="shared" si="7"/>
        <v>5.2919852882808982</v>
      </c>
      <c r="F40" s="5" t="s">
        <v>4</v>
      </c>
      <c r="G40" s="2" t="s">
        <v>17</v>
      </c>
      <c r="H40">
        <f t="shared" si="5"/>
        <v>3.7793000000000001</v>
      </c>
      <c r="I40">
        <f t="shared" si="6"/>
        <v>-20</v>
      </c>
    </row>
    <row r="41" spans="2:9" x14ac:dyDescent="0.3">
      <c r="B41" s="4">
        <v>45060.512499999997</v>
      </c>
      <c r="C41" s="5">
        <v>6.7756290000000003</v>
      </c>
      <c r="D41" s="5">
        <v>30</v>
      </c>
      <c r="E41" s="5">
        <f t="shared" si="7"/>
        <v>4.427633213093574</v>
      </c>
      <c r="F41" s="5" t="s">
        <v>4</v>
      </c>
      <c r="G41" s="2" t="s">
        <v>17</v>
      </c>
      <c r="H41">
        <f t="shared" si="5"/>
        <v>6.7756290000000003</v>
      </c>
      <c r="I41">
        <f t="shared" si="6"/>
        <v>-30</v>
      </c>
    </row>
    <row r="42" spans="2:9" x14ac:dyDescent="0.3">
      <c r="B42" s="4">
        <v>45066.838888888888</v>
      </c>
      <c r="C42" s="5">
        <v>11.106890999999999</v>
      </c>
      <c r="D42" s="5">
        <v>50</v>
      </c>
      <c r="E42" s="5">
        <f t="shared" si="7"/>
        <v>4.5017097943970104</v>
      </c>
      <c r="F42" s="5" t="s">
        <v>4</v>
      </c>
      <c r="G42" s="2" t="s">
        <v>17</v>
      </c>
      <c r="H42">
        <f t="shared" si="5"/>
        <v>11.106890999999999</v>
      </c>
      <c r="I42">
        <f t="shared" si="6"/>
        <v>-50</v>
      </c>
    </row>
    <row r="43" spans="2:9" x14ac:dyDescent="0.3">
      <c r="B43" s="4">
        <v>45087.370138888888</v>
      </c>
      <c r="C43" s="5">
        <v>7.9662040799999998</v>
      </c>
      <c r="D43" s="5">
        <v>25</v>
      </c>
      <c r="E43" s="5">
        <f t="shared" si="7"/>
        <v>3.1382575375849524</v>
      </c>
      <c r="F43" s="5" t="s">
        <v>4</v>
      </c>
      <c r="G43" s="2" t="s">
        <v>17</v>
      </c>
      <c r="H43">
        <f t="shared" si="5"/>
        <v>7.9662040799999998</v>
      </c>
      <c r="I43">
        <f t="shared" si="6"/>
        <v>-25</v>
      </c>
    </row>
    <row r="44" spans="2:9" x14ac:dyDescent="0.3">
      <c r="B44" s="4">
        <v>45179.96597222222</v>
      </c>
      <c r="C44" s="5">
        <v>16.036485590000002</v>
      </c>
      <c r="D44" s="5">
        <v>50</v>
      </c>
      <c r="E44" s="5">
        <f t="shared" si="7"/>
        <v>3.1178901212107779</v>
      </c>
      <c r="F44" s="5" t="s">
        <v>4</v>
      </c>
      <c r="G44" s="2" t="s">
        <v>17</v>
      </c>
      <c r="H44">
        <f t="shared" si="5"/>
        <v>16.036485590000002</v>
      </c>
      <c r="I44">
        <f t="shared" si="6"/>
        <v>-50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9"/>
  <sheetViews>
    <sheetView topLeftCell="B1" zoomScale="115" zoomScaleNormal="115" workbookViewId="0">
      <selection activeCell="C22" sqref="C22"/>
    </sheetView>
  </sheetViews>
  <sheetFormatPr defaultRowHeight="14.4" x14ac:dyDescent="0.3"/>
  <cols>
    <col min="3" max="3" width="15.33203125" bestFit="1" customWidth="1"/>
    <col min="7" max="7" width="10.21875" bestFit="1" customWidth="1"/>
    <col min="8" max="8" width="11.6640625" bestFit="1" customWidth="1"/>
    <col min="13" max="13" width="9.21875" bestFit="1" customWidth="1"/>
    <col min="14" max="14" width="7.88671875" bestFit="1" customWidth="1"/>
    <col min="15" max="15" width="11.88671875" bestFit="1" customWidth="1"/>
  </cols>
  <sheetData>
    <row r="3" spans="3:10" x14ac:dyDescent="0.3">
      <c r="C3" s="27" t="s">
        <v>11</v>
      </c>
      <c r="D3" s="27"/>
      <c r="E3" s="27"/>
      <c r="F3" s="27"/>
      <c r="G3" s="27"/>
    </row>
    <row r="4" spans="3:10" x14ac:dyDescent="0.3">
      <c r="C4" s="1" t="s">
        <v>7</v>
      </c>
      <c r="D4" s="1" t="s">
        <v>0</v>
      </c>
      <c r="E4" s="1" t="s">
        <v>2</v>
      </c>
      <c r="F4" s="1" t="s">
        <v>1</v>
      </c>
      <c r="G4" s="1" t="s">
        <v>3</v>
      </c>
      <c r="H4" s="8" t="s">
        <v>16</v>
      </c>
    </row>
    <row r="5" spans="3:10" x14ac:dyDescent="0.3">
      <c r="C5" s="1" t="s">
        <v>6</v>
      </c>
      <c r="D5" s="1" t="s">
        <v>12</v>
      </c>
      <c r="E5" s="1" t="s">
        <v>12</v>
      </c>
      <c r="F5" s="1" t="s">
        <v>12</v>
      </c>
      <c r="G5" s="1"/>
      <c r="H5" s="8"/>
    </row>
    <row r="6" spans="3:10" x14ac:dyDescent="0.3">
      <c r="C6" s="20">
        <v>44963.483946759261</v>
      </c>
      <c r="D6" s="1">
        <v>3.26</v>
      </c>
      <c r="E6" s="1">
        <v>15</v>
      </c>
      <c r="F6" s="1">
        <f>E6/D6</f>
        <v>4.6012269938650308</v>
      </c>
      <c r="G6" s="1" t="s">
        <v>5</v>
      </c>
      <c r="H6" s="1" t="s">
        <v>17</v>
      </c>
      <c r="I6">
        <f>IF($G6="BUY",D6,-D6)</f>
        <v>-3.26</v>
      </c>
      <c r="J6">
        <f>IF($G6="BUY",-E6,E6)</f>
        <v>15</v>
      </c>
    </row>
    <row r="7" spans="3:10" x14ac:dyDescent="0.3">
      <c r="C7" s="20">
        <v>44970.808333333334</v>
      </c>
      <c r="D7" s="1">
        <v>3.9064000000000001</v>
      </c>
      <c r="E7" s="1">
        <v>15</v>
      </c>
      <c r="F7" s="1">
        <f>E7/D7</f>
        <v>3.8398525496620928</v>
      </c>
      <c r="G7" s="1" t="s">
        <v>4</v>
      </c>
      <c r="H7" s="1" t="s">
        <v>17</v>
      </c>
      <c r="I7">
        <f t="shared" ref="I7:I14" si="0">IF($G7="BUY",D7,-D7)</f>
        <v>3.9064000000000001</v>
      </c>
      <c r="J7">
        <f t="shared" ref="J7:J14" si="1">IF($G7="BUY",-E7,E7)</f>
        <v>-15</v>
      </c>
    </row>
    <row r="8" spans="3:10" x14ac:dyDescent="0.3">
      <c r="C8" s="20">
        <v>45021.003472222219</v>
      </c>
      <c r="D8" s="1">
        <v>1.00202781</v>
      </c>
      <c r="E8" s="1"/>
      <c r="F8" s="1">
        <f t="shared" ref="F8:F14" si="2">E8/D8</f>
        <v>0</v>
      </c>
      <c r="G8" s="1" t="s">
        <v>19</v>
      </c>
      <c r="H8" s="1" t="s">
        <v>17</v>
      </c>
      <c r="I8">
        <f t="shared" si="0"/>
        <v>-1.00202781</v>
      </c>
      <c r="J8">
        <f t="shared" si="1"/>
        <v>0</v>
      </c>
    </row>
    <row r="9" spans="3:10" x14ac:dyDescent="0.3">
      <c r="C9" s="20">
        <v>45040.790972222225</v>
      </c>
      <c r="D9" s="1">
        <v>17.247</v>
      </c>
      <c r="E9" s="1">
        <v>50</v>
      </c>
      <c r="F9" s="1">
        <f t="shared" si="2"/>
        <v>2.8990549080999592</v>
      </c>
      <c r="G9" s="1" t="s">
        <v>4</v>
      </c>
      <c r="H9" s="1" t="s">
        <v>17</v>
      </c>
      <c r="I9">
        <f t="shared" si="0"/>
        <v>17.247</v>
      </c>
      <c r="J9">
        <f t="shared" si="1"/>
        <v>-50</v>
      </c>
    </row>
    <row r="10" spans="3:10" x14ac:dyDescent="0.3">
      <c r="C10" s="20">
        <v>45048.806250000001</v>
      </c>
      <c r="D10" s="1">
        <v>19.797999999999998</v>
      </c>
      <c r="E10" s="1">
        <v>50</v>
      </c>
      <c r="F10" s="1">
        <f t="shared" si="2"/>
        <v>2.5255076270330337</v>
      </c>
      <c r="G10" s="5" t="s">
        <v>4</v>
      </c>
      <c r="H10" s="1" t="s">
        <v>17</v>
      </c>
      <c r="I10">
        <f t="shared" si="0"/>
        <v>19.797999999999998</v>
      </c>
      <c r="J10">
        <f t="shared" si="1"/>
        <v>-50</v>
      </c>
    </row>
    <row r="11" spans="3:10" x14ac:dyDescent="0.3">
      <c r="C11" s="20">
        <v>45053.579861111109</v>
      </c>
      <c r="D11" s="1">
        <v>32.863500000000002</v>
      </c>
      <c r="E11" s="1">
        <v>70</v>
      </c>
      <c r="F11" s="1">
        <f t="shared" si="2"/>
        <v>2.1300226695269826</v>
      </c>
      <c r="G11" s="5" t="s">
        <v>4</v>
      </c>
      <c r="H11" s="1" t="s">
        <v>17</v>
      </c>
      <c r="I11">
        <f t="shared" si="0"/>
        <v>32.863500000000002</v>
      </c>
      <c r="J11">
        <f t="shared" si="1"/>
        <v>-70</v>
      </c>
    </row>
    <row r="12" spans="3:10" x14ac:dyDescent="0.3">
      <c r="C12" s="20">
        <v>45071.254861111112</v>
      </c>
      <c r="D12" s="1">
        <v>3.2280000000000002</v>
      </c>
      <c r="E12" s="1">
        <v>5.0999999999999996</v>
      </c>
      <c r="F12" s="1">
        <f t="shared" si="2"/>
        <v>1.5799256505576207</v>
      </c>
      <c r="G12" s="5" t="s">
        <v>4</v>
      </c>
      <c r="H12" s="1" t="s">
        <v>17</v>
      </c>
      <c r="I12">
        <f t="shared" si="0"/>
        <v>3.2280000000000002</v>
      </c>
      <c r="J12">
        <f t="shared" si="1"/>
        <v>-5.0999999999999996</v>
      </c>
    </row>
    <row r="13" spans="3:10" x14ac:dyDescent="0.3">
      <c r="C13" s="20">
        <v>45071.90625</v>
      </c>
      <c r="D13" s="1">
        <v>38.52017</v>
      </c>
      <c r="E13" s="1">
        <v>60</v>
      </c>
      <c r="F13" s="1">
        <f t="shared" si="2"/>
        <v>1.5576255244979449</v>
      </c>
      <c r="G13" s="5" t="s">
        <v>4</v>
      </c>
      <c r="H13" s="1" t="s">
        <v>17</v>
      </c>
      <c r="I13">
        <f t="shared" si="0"/>
        <v>38.52017</v>
      </c>
      <c r="J13">
        <f t="shared" si="1"/>
        <v>-60</v>
      </c>
    </row>
    <row r="14" spans="3:10" x14ac:dyDescent="0.3">
      <c r="C14" s="20">
        <v>45073.487500000003</v>
      </c>
      <c r="D14" s="1">
        <v>32.299100000000003</v>
      </c>
      <c r="E14" s="5">
        <v>50</v>
      </c>
      <c r="F14" s="1">
        <f t="shared" si="2"/>
        <v>1.5480307500828194</v>
      </c>
      <c r="G14" s="5" t="s">
        <v>4</v>
      </c>
      <c r="H14" s="1" t="s">
        <v>17</v>
      </c>
      <c r="I14">
        <f t="shared" si="0"/>
        <v>32.299100000000003</v>
      </c>
      <c r="J14">
        <f t="shared" si="1"/>
        <v>-50</v>
      </c>
    </row>
    <row r="15" spans="3:10" x14ac:dyDescent="0.3">
      <c r="F15" s="26"/>
      <c r="G15" s="3"/>
      <c r="H15" s="26"/>
    </row>
    <row r="16" spans="3:10" x14ac:dyDescent="0.3">
      <c r="F16" s="26"/>
      <c r="G16" s="3"/>
      <c r="H16" s="26"/>
    </row>
    <row r="17" spans="6:8" x14ac:dyDescent="0.3">
      <c r="F17" s="3"/>
      <c r="G17" s="3"/>
      <c r="H17" s="26"/>
    </row>
    <row r="18" spans="6:8" x14ac:dyDescent="0.3">
      <c r="F18" s="3"/>
      <c r="G18" s="3"/>
      <c r="H18" s="26"/>
    </row>
    <row r="19" spans="6:8" x14ac:dyDescent="0.3">
      <c r="F19" s="3"/>
      <c r="G19" s="3"/>
      <c r="H19" s="26"/>
    </row>
  </sheetData>
  <mergeCells count="1">
    <mergeCell ref="C3:G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1"/>
  <sheetViews>
    <sheetView zoomScale="130" zoomScaleNormal="130" workbookViewId="0">
      <selection activeCell="B21" sqref="B21"/>
    </sheetView>
  </sheetViews>
  <sheetFormatPr defaultRowHeight="14.4" x14ac:dyDescent="0.3"/>
  <cols>
    <col min="2" max="2" width="15.6640625" bestFit="1" customWidth="1"/>
    <col min="7" max="7" width="11.88671875" bestFit="1" customWidth="1"/>
    <col min="8" max="8" width="20.88671875" customWidth="1"/>
  </cols>
  <sheetData>
    <row r="3" spans="2:9" x14ac:dyDescent="0.3">
      <c r="B3" s="27" t="s">
        <v>13</v>
      </c>
      <c r="C3" s="27"/>
      <c r="D3" s="27"/>
      <c r="E3" s="27"/>
      <c r="F3" s="27"/>
      <c r="G3" s="21"/>
    </row>
    <row r="4" spans="2:9" x14ac:dyDescent="0.3">
      <c r="B4" s="8" t="s">
        <v>7</v>
      </c>
      <c r="C4" s="8" t="s">
        <v>0</v>
      </c>
      <c r="D4" s="8" t="s">
        <v>2</v>
      </c>
      <c r="E4" s="8" t="s">
        <v>1</v>
      </c>
      <c r="F4" s="8" t="s">
        <v>3</v>
      </c>
      <c r="G4" s="23" t="s">
        <v>16</v>
      </c>
    </row>
    <row r="5" spans="2:9" x14ac:dyDescent="0.3">
      <c r="B5" s="8" t="s">
        <v>6</v>
      </c>
      <c r="C5" s="8" t="s">
        <v>12</v>
      </c>
      <c r="D5" s="8" t="s">
        <v>12</v>
      </c>
      <c r="E5" s="8" t="s">
        <v>12</v>
      </c>
      <c r="F5" s="8"/>
      <c r="G5" s="23"/>
    </row>
    <row r="6" spans="2:9" x14ac:dyDescent="0.3">
      <c r="B6" s="4">
        <v>44898.047719907408</v>
      </c>
      <c r="C6" s="8">
        <v>0.71379999999999999</v>
      </c>
      <c r="D6" s="8">
        <v>5</v>
      </c>
      <c r="E6" s="8">
        <f>D6/C6</f>
        <v>7.0047632390025214</v>
      </c>
      <c r="F6" s="8" t="s">
        <v>5</v>
      </c>
      <c r="G6" s="1" t="s">
        <v>17</v>
      </c>
      <c r="H6">
        <f t="shared" ref="H6:H16" si="0">IF($F6="BUY",C6,-C6)</f>
        <v>-0.71379999999999999</v>
      </c>
      <c r="I6">
        <f>IF($F6="BUY",-D6,D6)</f>
        <v>5</v>
      </c>
    </row>
    <row r="7" spans="2:9" x14ac:dyDescent="0.3">
      <c r="B7" s="4">
        <v>44923.599305555559</v>
      </c>
      <c r="C7" s="8">
        <v>0.71299999999999997</v>
      </c>
      <c r="D7" s="8">
        <v>4.5</v>
      </c>
      <c r="E7" s="8">
        <f>D7/C7</f>
        <v>6.3113604488078545</v>
      </c>
      <c r="F7" s="8" t="s">
        <v>4</v>
      </c>
      <c r="G7" s="1" t="s">
        <v>17</v>
      </c>
      <c r="H7">
        <f t="shared" si="0"/>
        <v>0.71299999999999997</v>
      </c>
      <c r="I7">
        <f t="shared" ref="I7:I16" si="1">IF($F7="BUY",-D7,D7)</f>
        <v>-4.5</v>
      </c>
    </row>
    <row r="8" spans="2:9" x14ac:dyDescent="0.3">
      <c r="B8" s="4">
        <v>44935.056250000001</v>
      </c>
      <c r="C8" s="8">
        <v>0.82350000000000001</v>
      </c>
      <c r="D8" s="8">
        <v>7</v>
      </c>
      <c r="E8" s="8">
        <f t="shared" ref="E8:E19" si="2">D8/C8</f>
        <v>8.5003035822707957</v>
      </c>
      <c r="F8" s="8" t="s">
        <v>5</v>
      </c>
      <c r="G8" s="1" t="s">
        <v>17</v>
      </c>
      <c r="H8">
        <f t="shared" si="0"/>
        <v>-0.82350000000000001</v>
      </c>
      <c r="I8">
        <f t="shared" si="1"/>
        <v>7</v>
      </c>
    </row>
    <row r="9" spans="2:9" x14ac:dyDescent="0.3">
      <c r="B9" s="4">
        <v>44940.009722222225</v>
      </c>
      <c r="C9" s="8">
        <v>0.47610000000000002</v>
      </c>
      <c r="D9" s="8">
        <v>5</v>
      </c>
      <c r="E9" s="8">
        <f t="shared" si="2"/>
        <v>10.501995379122032</v>
      </c>
      <c r="F9" s="8" t="s">
        <v>5</v>
      </c>
      <c r="G9" s="1" t="s">
        <v>17</v>
      </c>
      <c r="H9">
        <f t="shared" si="0"/>
        <v>-0.47610000000000002</v>
      </c>
      <c r="I9">
        <f t="shared" si="1"/>
        <v>5</v>
      </c>
    </row>
    <row r="10" spans="2:9" x14ac:dyDescent="0.3">
      <c r="B10" s="4">
        <v>44942.359722222223</v>
      </c>
      <c r="C10" s="8">
        <v>0.52</v>
      </c>
      <c r="D10" s="8">
        <v>5</v>
      </c>
      <c r="E10" s="8">
        <f t="shared" si="2"/>
        <v>9.615384615384615</v>
      </c>
      <c r="F10" s="9" t="s">
        <v>5</v>
      </c>
      <c r="G10" s="1" t="s">
        <v>17</v>
      </c>
      <c r="H10">
        <f t="shared" si="0"/>
        <v>-0.52</v>
      </c>
      <c r="I10">
        <f t="shared" si="1"/>
        <v>5</v>
      </c>
    </row>
    <row r="11" spans="2:9" x14ac:dyDescent="0.3">
      <c r="B11" s="4">
        <v>44948.586111111108</v>
      </c>
      <c r="C11" s="8">
        <v>0.52900000000000003</v>
      </c>
      <c r="D11" s="8">
        <v>5</v>
      </c>
      <c r="E11" s="8">
        <f t="shared" si="2"/>
        <v>9.4517958412098295</v>
      </c>
      <c r="F11" s="9" t="s">
        <v>5</v>
      </c>
      <c r="G11" s="1" t="s">
        <v>17</v>
      </c>
      <c r="H11">
        <f t="shared" si="0"/>
        <v>-0.52900000000000003</v>
      </c>
      <c r="I11">
        <f t="shared" si="1"/>
        <v>5</v>
      </c>
    </row>
    <row r="12" spans="2:9" x14ac:dyDescent="0.3">
      <c r="B12" s="4">
        <v>44948.704861111109</v>
      </c>
      <c r="C12" s="8">
        <v>0.38400000000000001</v>
      </c>
      <c r="D12" s="8">
        <v>5</v>
      </c>
      <c r="E12" s="8">
        <f t="shared" si="2"/>
        <v>13.020833333333334</v>
      </c>
      <c r="F12" s="9" t="s">
        <v>5</v>
      </c>
      <c r="G12" s="1" t="s">
        <v>17</v>
      </c>
      <c r="H12">
        <f t="shared" si="0"/>
        <v>-0.38400000000000001</v>
      </c>
      <c r="I12">
        <f t="shared" si="1"/>
        <v>5</v>
      </c>
    </row>
    <row r="13" spans="2:9" x14ac:dyDescent="0.3">
      <c r="B13" s="4">
        <v>44948.936805555553</v>
      </c>
      <c r="C13" s="8">
        <v>0.4415</v>
      </c>
      <c r="D13" s="8">
        <v>5</v>
      </c>
      <c r="E13" s="8">
        <f t="shared" si="2"/>
        <v>11.325028312570781</v>
      </c>
      <c r="F13" s="9" t="s">
        <v>5</v>
      </c>
      <c r="G13" s="1" t="s">
        <v>17</v>
      </c>
      <c r="H13">
        <f t="shared" si="0"/>
        <v>-0.4415</v>
      </c>
      <c r="I13">
        <f t="shared" si="1"/>
        <v>5</v>
      </c>
    </row>
    <row r="14" spans="2:9" x14ac:dyDescent="0.3">
      <c r="B14" s="4">
        <v>44981.907638888886</v>
      </c>
      <c r="C14" s="9">
        <v>0.82550000000000001</v>
      </c>
      <c r="D14" s="9">
        <v>8.1782400000000006</v>
      </c>
      <c r="E14" s="8">
        <f t="shared" si="2"/>
        <v>9.9070139309509386</v>
      </c>
      <c r="F14" s="9" t="s">
        <v>4</v>
      </c>
      <c r="G14" s="1" t="s">
        <v>17</v>
      </c>
      <c r="H14">
        <f t="shared" si="0"/>
        <v>0.82550000000000001</v>
      </c>
      <c r="I14">
        <f t="shared" si="1"/>
        <v>-8.1782400000000006</v>
      </c>
    </row>
    <row r="15" spans="2:9" x14ac:dyDescent="0.3">
      <c r="B15" s="4">
        <v>44993.030555555553</v>
      </c>
      <c r="C15" s="9">
        <v>1.875</v>
      </c>
      <c r="D15" s="9">
        <v>15</v>
      </c>
      <c r="E15" s="1">
        <f t="shared" si="2"/>
        <v>8</v>
      </c>
      <c r="F15" s="9" t="s">
        <v>4</v>
      </c>
      <c r="G15" s="1" t="s">
        <v>17</v>
      </c>
      <c r="H15">
        <f t="shared" si="0"/>
        <v>1.875</v>
      </c>
      <c r="I15">
        <f t="shared" si="1"/>
        <v>-15</v>
      </c>
    </row>
    <row r="16" spans="2:9" x14ac:dyDescent="0.3">
      <c r="B16" s="4">
        <v>44994.956250000003</v>
      </c>
      <c r="C16" s="9">
        <v>1</v>
      </c>
      <c r="D16" s="9">
        <v>7</v>
      </c>
      <c r="E16" s="1">
        <f t="shared" si="2"/>
        <v>7</v>
      </c>
      <c r="F16" s="9" t="s">
        <v>4</v>
      </c>
      <c r="G16" s="1" t="s">
        <v>17</v>
      </c>
      <c r="H16">
        <f t="shared" si="0"/>
        <v>1</v>
      </c>
      <c r="I16">
        <f t="shared" si="1"/>
        <v>-7</v>
      </c>
    </row>
    <row r="17" spans="2:9" x14ac:dyDescent="0.3">
      <c r="B17" s="4">
        <v>44999.738194444442</v>
      </c>
      <c r="C17" s="9">
        <v>1</v>
      </c>
      <c r="D17" s="9">
        <v>8.8928464599999995</v>
      </c>
      <c r="E17" s="9">
        <f t="shared" si="2"/>
        <v>8.8928464599999995</v>
      </c>
      <c r="F17" s="9" t="s">
        <v>5</v>
      </c>
      <c r="G17" s="1" t="s">
        <v>17</v>
      </c>
      <c r="H17">
        <f t="shared" ref="H17" si="3">IF($F17="BUY",C17,-C17)</f>
        <v>-1</v>
      </c>
      <c r="I17">
        <f t="shared" ref="I17" si="4">IF($F17="BUY",-D17,D17)</f>
        <v>8.8928464599999995</v>
      </c>
    </row>
    <row r="18" spans="2:9" x14ac:dyDescent="0.3">
      <c r="B18" s="22" t="s">
        <v>6</v>
      </c>
      <c r="C18" s="2" t="s">
        <v>6</v>
      </c>
      <c r="D18" s="2" t="s">
        <v>6</v>
      </c>
      <c r="E18" s="9" t="s">
        <v>6</v>
      </c>
      <c r="F18" s="9" t="s">
        <v>6</v>
      </c>
      <c r="G18" s="1" t="s">
        <v>17</v>
      </c>
    </row>
    <row r="19" spans="2:9" x14ac:dyDescent="0.3">
      <c r="B19" s="4">
        <v>45222.979166666664</v>
      </c>
      <c r="C19" s="9">
        <v>4.3811396</v>
      </c>
      <c r="D19" s="9">
        <v>20</v>
      </c>
      <c r="E19" s="9">
        <f t="shared" si="2"/>
        <v>4.565022306068494</v>
      </c>
      <c r="F19" s="9" t="s">
        <v>4</v>
      </c>
      <c r="G19" s="1" t="s">
        <v>17</v>
      </c>
      <c r="H19">
        <f>IF($F19="BUY",C19,-C19)</f>
        <v>4.3811396</v>
      </c>
      <c r="I19">
        <f>IF($F19="BUY",-D19,D19)</f>
        <v>-20</v>
      </c>
    </row>
    <row r="21" spans="2:9" x14ac:dyDescent="0.3">
      <c r="C21" t="s">
        <v>15</v>
      </c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17"/>
  <sheetViews>
    <sheetView workbookViewId="0">
      <selection activeCell="D26" sqref="D26"/>
    </sheetView>
  </sheetViews>
  <sheetFormatPr defaultRowHeight="14.4" x14ac:dyDescent="0.3"/>
  <cols>
    <col min="2" max="2" width="14.6640625" bestFit="1" customWidth="1"/>
    <col min="13" max="13" width="15.77734375" bestFit="1" customWidth="1"/>
    <col min="14" max="14" width="14.77734375" customWidth="1"/>
    <col min="16" max="16" width="20.6640625" bestFit="1" customWidth="1"/>
  </cols>
  <sheetData>
    <row r="3" spans="2:16" x14ac:dyDescent="0.3">
      <c r="B3" s="27" t="s">
        <v>21</v>
      </c>
      <c r="C3" s="27"/>
      <c r="D3" s="27"/>
      <c r="E3" s="27"/>
      <c r="F3" s="27"/>
    </row>
    <row r="4" spans="2:16" x14ac:dyDescent="0.3">
      <c r="B4" s="1" t="s">
        <v>7</v>
      </c>
      <c r="C4" s="1" t="s">
        <v>0</v>
      </c>
      <c r="D4" s="1" t="s">
        <v>2</v>
      </c>
      <c r="E4" s="1" t="s">
        <v>1</v>
      </c>
      <c r="F4" s="1" t="s">
        <v>3</v>
      </c>
    </row>
    <row r="5" spans="2:16" x14ac:dyDescent="0.3">
      <c r="B5" s="4">
        <v>44898.047719907408</v>
      </c>
      <c r="C5" s="8">
        <v>0.71379999999999999</v>
      </c>
      <c r="D5" s="8">
        <v>5</v>
      </c>
      <c r="E5" s="8">
        <f>D5/C5</f>
        <v>7.0047632390025214</v>
      </c>
      <c r="F5" s="8" t="s">
        <v>5</v>
      </c>
      <c r="G5" s="1" t="s">
        <v>17</v>
      </c>
      <c r="H5">
        <f t="shared" ref="H5:H13" si="0">IF($F5="BUY",C5,-C5)</f>
        <v>-0.71379999999999999</v>
      </c>
      <c r="I5">
        <f t="shared" ref="I5:I13" si="1">IF($F5="BUY",-D5,D5)</f>
        <v>5</v>
      </c>
      <c r="K5" s="10"/>
      <c r="L5" s="10"/>
      <c r="M5" s="10"/>
      <c r="N5" s="10"/>
      <c r="O5" s="10"/>
      <c r="P5" s="10"/>
    </row>
    <row r="6" spans="2:16" x14ac:dyDescent="0.3">
      <c r="B6" s="4"/>
      <c r="C6" s="1"/>
      <c r="D6" s="1"/>
      <c r="E6" s="1"/>
      <c r="F6" s="1"/>
      <c r="H6">
        <f t="shared" si="0"/>
        <v>0</v>
      </c>
      <c r="I6">
        <f t="shared" si="1"/>
        <v>0</v>
      </c>
      <c r="K6" s="10"/>
      <c r="L6" s="10"/>
      <c r="M6" s="10"/>
      <c r="N6" s="10"/>
      <c r="O6" s="10"/>
    </row>
    <row r="7" spans="2:16" x14ac:dyDescent="0.3">
      <c r="B7" s="4"/>
      <c r="C7" s="1"/>
      <c r="D7" s="1"/>
      <c r="E7" s="1"/>
      <c r="F7" s="1"/>
      <c r="H7">
        <f t="shared" si="0"/>
        <v>0</v>
      </c>
      <c r="I7">
        <f t="shared" si="1"/>
        <v>0</v>
      </c>
      <c r="K7" s="10"/>
      <c r="L7" s="10"/>
      <c r="M7" s="10"/>
      <c r="N7" s="10"/>
      <c r="O7" s="10"/>
    </row>
    <row r="8" spans="2:16" x14ac:dyDescent="0.3">
      <c r="B8" s="4"/>
      <c r="C8" s="1"/>
      <c r="D8" s="1"/>
      <c r="E8" s="1"/>
      <c r="F8" s="1"/>
      <c r="H8">
        <f t="shared" si="0"/>
        <v>0</v>
      </c>
      <c r="I8">
        <f t="shared" si="1"/>
        <v>0</v>
      </c>
      <c r="K8" s="10"/>
      <c r="L8" s="10"/>
      <c r="M8" s="10"/>
      <c r="N8" s="10"/>
      <c r="O8" s="10"/>
    </row>
    <row r="9" spans="2:16" x14ac:dyDescent="0.3">
      <c r="B9" s="4"/>
      <c r="C9" s="1"/>
      <c r="D9" s="1"/>
      <c r="E9" s="1"/>
      <c r="F9" s="1"/>
      <c r="H9">
        <f t="shared" si="0"/>
        <v>0</v>
      </c>
      <c r="I9">
        <f t="shared" si="1"/>
        <v>0</v>
      </c>
      <c r="K9" s="10"/>
      <c r="L9" s="10"/>
      <c r="M9" s="10"/>
      <c r="N9" s="10"/>
      <c r="O9" s="10"/>
    </row>
    <row r="10" spans="2:16" x14ac:dyDescent="0.3">
      <c r="B10" s="4"/>
      <c r="C10" s="1"/>
      <c r="D10" s="1"/>
      <c r="E10" s="1"/>
      <c r="F10" s="1"/>
      <c r="H10">
        <f t="shared" si="0"/>
        <v>0</v>
      </c>
      <c r="I10">
        <f t="shared" si="1"/>
        <v>0</v>
      </c>
      <c r="K10" s="10"/>
      <c r="L10" s="10"/>
      <c r="M10" s="10"/>
      <c r="N10" s="10"/>
      <c r="O10" s="10"/>
    </row>
    <row r="11" spans="2:16" x14ac:dyDescent="0.3">
      <c r="B11" s="4"/>
      <c r="C11" s="1"/>
      <c r="D11" s="1"/>
      <c r="E11" s="1"/>
      <c r="F11" s="1"/>
      <c r="H11">
        <f t="shared" si="0"/>
        <v>0</v>
      </c>
      <c r="I11">
        <f t="shared" si="1"/>
        <v>0</v>
      </c>
      <c r="K11" s="10"/>
      <c r="L11" s="10"/>
      <c r="M11" s="10"/>
      <c r="N11" s="10"/>
      <c r="O11" s="10"/>
    </row>
    <row r="12" spans="2:16" x14ac:dyDescent="0.3">
      <c r="B12" s="4"/>
      <c r="C12" s="1"/>
      <c r="D12" s="1"/>
      <c r="E12" s="1"/>
      <c r="F12" s="1"/>
      <c r="H12">
        <f t="shared" si="0"/>
        <v>0</v>
      </c>
      <c r="I12">
        <f t="shared" si="1"/>
        <v>0</v>
      </c>
    </row>
    <row r="13" spans="2:16" x14ac:dyDescent="0.3">
      <c r="B13" s="4"/>
      <c r="C13" s="1"/>
      <c r="D13" s="1"/>
      <c r="E13" s="1"/>
      <c r="F13" s="1"/>
      <c r="H13">
        <f t="shared" si="0"/>
        <v>0</v>
      </c>
      <c r="I13">
        <f t="shared" si="1"/>
        <v>0</v>
      </c>
    </row>
    <row r="14" spans="2:16" x14ac:dyDescent="0.3">
      <c r="B14" s="4"/>
      <c r="C14" s="1"/>
      <c r="D14" s="1"/>
      <c r="E14" s="1"/>
      <c r="F14" s="1"/>
    </row>
    <row r="15" spans="2:16" x14ac:dyDescent="0.3">
      <c r="B15" s="4"/>
      <c r="C15" s="1"/>
      <c r="D15" s="1"/>
      <c r="E15" s="1"/>
      <c r="F15" s="1"/>
    </row>
    <row r="16" spans="2:16" x14ac:dyDescent="0.3">
      <c r="B16" s="4"/>
      <c r="C16" s="1"/>
      <c r="D16" s="1"/>
      <c r="E16" s="1"/>
      <c r="F16" s="5"/>
    </row>
    <row r="17" spans="2:6" x14ac:dyDescent="0.3">
      <c r="B17" s="4"/>
      <c r="C17" s="1"/>
      <c r="D17" s="5"/>
      <c r="E17" s="5"/>
      <c r="F17" s="5"/>
    </row>
  </sheetData>
  <mergeCells count="1">
    <mergeCell ref="B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6"/>
  <sheetViews>
    <sheetView workbookViewId="0">
      <selection activeCell="D17" sqref="D17"/>
    </sheetView>
  </sheetViews>
  <sheetFormatPr defaultRowHeight="14.4" x14ac:dyDescent="0.3"/>
  <cols>
    <col min="2" max="2" width="15.6640625" bestFit="1" customWidth="1"/>
    <col min="3" max="3" width="12" bestFit="1" customWidth="1"/>
    <col min="7" max="7" width="11.6640625" bestFit="1" customWidth="1"/>
  </cols>
  <sheetData>
    <row r="3" spans="2:9" x14ac:dyDescent="0.3">
      <c r="B3" s="27" t="s">
        <v>22</v>
      </c>
      <c r="C3" s="27"/>
      <c r="D3" s="27"/>
      <c r="E3" s="27"/>
      <c r="F3" s="27"/>
    </row>
    <row r="4" spans="2:9" x14ac:dyDescent="0.3">
      <c r="B4" s="1" t="s">
        <v>7</v>
      </c>
      <c r="C4" s="1" t="s">
        <v>0</v>
      </c>
      <c r="D4" s="1" t="s">
        <v>2</v>
      </c>
      <c r="E4" s="1" t="s">
        <v>1</v>
      </c>
      <c r="F4" s="1" t="s">
        <v>3</v>
      </c>
      <c r="G4" s="5" t="s">
        <v>16</v>
      </c>
    </row>
    <row r="5" spans="2:9" x14ac:dyDescent="0.3">
      <c r="B5" s="4">
        <v>45156.884722222225</v>
      </c>
      <c r="C5" s="1">
        <v>11.50186257</v>
      </c>
      <c r="D5" s="1">
        <v>50</v>
      </c>
      <c r="E5" s="1">
        <f t="shared" ref="E5:E6" si="0">D5/C5</f>
        <v>4.3471220157345352</v>
      </c>
      <c r="F5" s="1" t="s">
        <v>4</v>
      </c>
      <c r="G5" s="1" t="s">
        <v>17</v>
      </c>
      <c r="H5">
        <f>IF($F5="BUY",C5,-C5)</f>
        <v>11.50186257</v>
      </c>
      <c r="I5">
        <f>IF($F5="BUY",-D5,D5)</f>
        <v>-50</v>
      </c>
    </row>
    <row r="6" spans="2:9" x14ac:dyDescent="0.3">
      <c r="B6" s="4">
        <v>45164.602777777778</v>
      </c>
      <c r="C6" s="1">
        <v>11.46753668</v>
      </c>
      <c r="D6" s="1">
        <v>48.345770000000002</v>
      </c>
      <c r="E6" s="1">
        <f t="shared" si="0"/>
        <v>4.2158809994754689</v>
      </c>
      <c r="F6" s="1" t="s">
        <v>4</v>
      </c>
      <c r="G6" s="1" t="s">
        <v>17</v>
      </c>
      <c r="H6">
        <f>IF($F6="BUY",C6,-C6)</f>
        <v>11.46753668</v>
      </c>
      <c r="I6">
        <f>IF($F6="BUY",-D6,D6)</f>
        <v>-48.345770000000002</v>
      </c>
    </row>
    <row r="7" spans="2:9" x14ac:dyDescent="0.3">
      <c r="B7" s="4">
        <v>45249.845833333333</v>
      </c>
      <c r="C7" s="1">
        <v>11.0617</v>
      </c>
      <c r="D7" s="1">
        <v>100</v>
      </c>
      <c r="E7" s="1">
        <f>D7/C7</f>
        <v>9.04020177730367</v>
      </c>
      <c r="F7" s="1" t="s">
        <v>5</v>
      </c>
      <c r="G7" s="1" t="s">
        <v>17</v>
      </c>
      <c r="H7">
        <f>IF($F7="BUY",C7,-C7)</f>
        <v>-11.0617</v>
      </c>
    </row>
    <row r="8" spans="2:9" x14ac:dyDescent="0.3">
      <c r="B8" s="4">
        <v>45252.829444444447</v>
      </c>
      <c r="C8" s="1">
        <v>12.798999999999999</v>
      </c>
      <c r="D8" s="1">
        <v>100</v>
      </c>
      <c r="E8" s="1">
        <f>D8/C8</f>
        <v>7.8131103992499416</v>
      </c>
      <c r="F8" s="1" t="s">
        <v>4</v>
      </c>
      <c r="G8" s="25" t="s">
        <v>25</v>
      </c>
      <c r="H8">
        <f>IF($F8="BUY",C8,-C8)</f>
        <v>12.798999999999999</v>
      </c>
    </row>
    <row r="9" spans="2:9" x14ac:dyDescent="0.3">
      <c r="B9" s="4"/>
      <c r="C9" s="1"/>
      <c r="D9" s="1"/>
      <c r="E9" s="1"/>
      <c r="F9" s="1"/>
    </row>
    <row r="10" spans="2:9" x14ac:dyDescent="0.3">
      <c r="B10" s="4"/>
      <c r="C10" s="1"/>
      <c r="D10" s="1"/>
      <c r="E10" s="1"/>
      <c r="F10" s="1"/>
    </row>
    <row r="11" spans="2:9" x14ac:dyDescent="0.3">
      <c r="B11" s="4"/>
      <c r="C11" s="1"/>
      <c r="D11" s="1"/>
      <c r="E11" s="1"/>
      <c r="F11" s="1"/>
    </row>
    <row r="12" spans="2:9" x14ac:dyDescent="0.3">
      <c r="B12" s="4"/>
      <c r="C12" s="1"/>
      <c r="D12" s="1"/>
      <c r="E12" s="1"/>
      <c r="F12" s="1"/>
    </row>
    <row r="13" spans="2:9" x14ac:dyDescent="0.3">
      <c r="B13" s="4"/>
      <c r="C13" s="1"/>
      <c r="D13" s="1"/>
      <c r="E13" s="1"/>
      <c r="F13" s="1"/>
    </row>
    <row r="14" spans="2:9" x14ac:dyDescent="0.3">
      <c r="B14" s="4"/>
      <c r="C14" s="1"/>
      <c r="D14" s="1"/>
      <c r="E14" s="1"/>
      <c r="F14" s="1"/>
    </row>
    <row r="15" spans="2:9" x14ac:dyDescent="0.3">
      <c r="B15" s="4"/>
      <c r="C15" s="1"/>
      <c r="D15" s="1"/>
      <c r="E15" s="1"/>
      <c r="F15" s="5"/>
    </row>
    <row r="16" spans="2:9" x14ac:dyDescent="0.3">
      <c r="B16" s="4"/>
      <c r="C16" s="1"/>
      <c r="D16" s="5"/>
      <c r="E16" s="5"/>
      <c r="F16" s="5"/>
    </row>
  </sheetData>
  <mergeCells count="1">
    <mergeCell ref="B3:F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6"/>
  <sheetViews>
    <sheetView workbookViewId="0">
      <selection activeCell="G23" sqref="G23"/>
    </sheetView>
  </sheetViews>
  <sheetFormatPr defaultRowHeight="14.4" x14ac:dyDescent="0.3"/>
  <cols>
    <col min="2" max="2" width="15.6640625" bestFit="1" customWidth="1"/>
    <col min="3" max="3" width="9.33203125" bestFit="1" customWidth="1"/>
    <col min="7" max="7" width="11.6640625" bestFit="1" customWidth="1"/>
  </cols>
  <sheetData>
    <row r="3" spans="2:9" x14ac:dyDescent="0.3">
      <c r="B3" s="27" t="s">
        <v>24</v>
      </c>
      <c r="C3" s="27"/>
      <c r="D3" s="27"/>
      <c r="E3" s="27"/>
      <c r="F3" s="27"/>
    </row>
    <row r="4" spans="2:9" x14ac:dyDescent="0.3">
      <c r="B4" s="1" t="s">
        <v>7</v>
      </c>
      <c r="C4" s="1" t="s">
        <v>0</v>
      </c>
      <c r="D4" s="1" t="s">
        <v>2</v>
      </c>
      <c r="E4" s="1" t="s">
        <v>1</v>
      </c>
      <c r="F4" s="1" t="s">
        <v>3</v>
      </c>
      <c r="G4" s="5" t="s">
        <v>16</v>
      </c>
    </row>
    <row r="5" spans="2:9" x14ac:dyDescent="0.3">
      <c r="B5" s="4">
        <v>45248.535416666666</v>
      </c>
      <c r="C5" s="1">
        <v>50.428355789999998</v>
      </c>
      <c r="D5">
        <v>19.806313150000001</v>
      </c>
      <c r="E5" s="1">
        <f t="shared" ref="E5" si="0">D5/C5</f>
        <v>0.39276143034446537</v>
      </c>
      <c r="F5" s="1" t="s">
        <v>4</v>
      </c>
      <c r="G5" s="1" t="s">
        <v>17</v>
      </c>
      <c r="H5">
        <f>IF($F5="BUY",C5,-C5)</f>
        <v>50.428355789999998</v>
      </c>
      <c r="I5">
        <f>IF($F5="BUY",-D5,D5)</f>
        <v>-19.806313150000001</v>
      </c>
    </row>
    <row r="6" spans="2:9" x14ac:dyDescent="0.3">
      <c r="B6" s="4">
        <v>45249.84652777778</v>
      </c>
      <c r="C6" s="1">
        <v>243.46031439999999</v>
      </c>
      <c r="D6">
        <v>100</v>
      </c>
      <c r="E6" s="1">
        <f t="shared" ref="E6" si="1">D6/C6</f>
        <v>0.41074456116778929</v>
      </c>
      <c r="F6" s="1" t="s">
        <v>4</v>
      </c>
      <c r="G6" s="1" t="s">
        <v>17</v>
      </c>
      <c r="H6">
        <f>IF($F6="BUY",C6,-C6)</f>
        <v>243.46031439999999</v>
      </c>
      <c r="I6">
        <f>IF($F6="BUY",-D6,D6)</f>
        <v>-100</v>
      </c>
    </row>
    <row r="7" spans="2:9" x14ac:dyDescent="0.3">
      <c r="B7" s="4"/>
      <c r="C7" s="1"/>
      <c r="D7" s="1"/>
      <c r="E7" s="1"/>
      <c r="F7" s="1"/>
    </row>
    <row r="8" spans="2:9" x14ac:dyDescent="0.3">
      <c r="B8" s="4"/>
      <c r="C8" s="1"/>
      <c r="D8" s="1"/>
      <c r="E8" s="1"/>
      <c r="F8" s="1"/>
    </row>
    <row r="9" spans="2:9" x14ac:dyDescent="0.3">
      <c r="B9" s="4"/>
      <c r="C9" s="1"/>
      <c r="D9" s="1"/>
      <c r="E9" s="1"/>
      <c r="F9" s="1"/>
    </row>
    <row r="10" spans="2:9" x14ac:dyDescent="0.3">
      <c r="B10" s="4"/>
      <c r="C10" s="1"/>
      <c r="D10" s="1"/>
      <c r="E10" s="1"/>
      <c r="F10" s="1"/>
    </row>
    <row r="11" spans="2:9" x14ac:dyDescent="0.3">
      <c r="B11" s="4"/>
      <c r="C11" s="1"/>
      <c r="D11" s="1"/>
      <c r="E11" s="1"/>
      <c r="F11" s="1"/>
    </row>
    <row r="12" spans="2:9" x14ac:dyDescent="0.3">
      <c r="B12" s="4"/>
      <c r="C12" s="1"/>
      <c r="D12" s="1"/>
      <c r="E12" s="1"/>
      <c r="F12" s="1"/>
    </row>
    <row r="13" spans="2:9" x14ac:dyDescent="0.3">
      <c r="B13" s="4"/>
      <c r="C13" s="1"/>
      <c r="D13" s="1"/>
      <c r="E13" s="1"/>
      <c r="F13" s="1"/>
    </row>
    <row r="14" spans="2:9" x14ac:dyDescent="0.3">
      <c r="B14" s="4"/>
      <c r="C14" s="1"/>
      <c r="D14" s="1"/>
      <c r="E14" s="1"/>
      <c r="F14" s="1"/>
    </row>
    <row r="15" spans="2:9" x14ac:dyDescent="0.3">
      <c r="B15" s="4"/>
      <c r="C15" s="1"/>
      <c r="D15" s="1"/>
      <c r="E15" s="1"/>
      <c r="F15" s="5"/>
    </row>
    <row r="16" spans="2:9" x14ac:dyDescent="0.3">
      <c r="B16" s="4"/>
      <c r="C16" s="1"/>
      <c r="D16" s="5"/>
      <c r="E16" s="5"/>
      <c r="F16" s="5"/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MOVR</vt:lpstr>
      <vt:lpstr>ICP</vt:lpstr>
      <vt:lpstr>FIL</vt:lpstr>
      <vt:lpstr>CAKE</vt:lpstr>
      <vt:lpstr>AXS</vt:lpstr>
      <vt:lpstr>CTSI</vt:lpstr>
      <vt:lpstr>AR</vt:lpstr>
      <vt:lpstr>FLUX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2026-07-18T14:35:08Z</dcterms:modified>
</cp:coreProperties>
</file>